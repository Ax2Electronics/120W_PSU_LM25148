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234BE7-98B9-4363-B8EA-CE5B5C50203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 1" sheetId="1" r:id="rId1"/>
  </sheets>
  <calcPr calcId="191029"/>
</workbook>
</file>

<file path=xl/calcChain.xml><?xml version="1.0" encoding="utf-8"?>
<calcChain xmlns="http://schemas.openxmlformats.org/spreadsheetml/2006/main">
  <c r="J33" i="1" l="1"/>
  <c r="J3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</calcChain>
</file>

<file path=xl/sharedStrings.xml><?xml version="1.0" encoding="utf-8"?>
<sst xmlns="http://schemas.openxmlformats.org/spreadsheetml/2006/main" count="122" uniqueCount="97">
  <si>
    <t>Parts Type</t>
  </si>
  <si>
    <t>JLCPCB Part #</t>
  </si>
  <si>
    <t>MFR Part #</t>
  </si>
  <si>
    <t>Description</t>
  </si>
  <si>
    <t>Unit Price</t>
  </si>
  <si>
    <t>Qty</t>
  </si>
  <si>
    <t>Total Price</t>
  </si>
  <si>
    <t>stock</t>
  </si>
  <si>
    <t>C25803</t>
  </si>
  <si>
    <t>0603WAF1003T5E</t>
  </si>
  <si>
    <t>-55℃~+155℃ 100kΩ 100mW 75V Thick Film Resistor ±1% ±100ppm/℃ 0603 Chip Resistor - Surface Mount ROHS</t>
  </si>
  <si>
    <t>buy</t>
  </si>
  <si>
    <t>C2051924</t>
  </si>
  <si>
    <t>IHLP3232DZER2R2M5A</t>
  </si>
  <si>
    <t>11.5A 11.7mΩ 14A 2.2uH AEC-Q200 ±20% SMD,8.2x8.2mm Power Inductors ROHS</t>
  </si>
  <si>
    <t>C89632</t>
  </si>
  <si>
    <t>CL31B106KBHNNNE</t>
  </si>
  <si>
    <t>10uF 50V X7R ±10% 1206 Multilayer Ceramic Capacitors MLCC - SMD/SMT ROHS</t>
  </si>
  <si>
    <t>C863129</t>
  </si>
  <si>
    <t>RT0603DRE0749K3L</t>
  </si>
  <si>
    <t>-55℃~+155℃ 100mW 49.3kΩ Thin Film Resistor ±0.5% ±50ppm/℃ 0603 Chip Resistor - Surface Mount ROHS</t>
  </si>
  <si>
    <t>C7509568</t>
  </si>
  <si>
    <t>2601-1102</t>
  </si>
  <si>
    <t>-60℃~+105℃ 0.14~1.5 1 160V 16~26 17.5A 1x2P 2 2P 3.5mm Gray Right Angle 插件,P=3.5mmm Spring Clamp System Terminal Block ROHS</t>
  </si>
  <si>
    <t>C43922</t>
  </si>
  <si>
    <t>0603B225K160NT</t>
  </si>
  <si>
    <t>16V 2.2uF X7R ±10% 0603 Multilayer Ceramic Capacitors MLCC - SMD/SMT ROHS</t>
  </si>
  <si>
    <t>C3289501</t>
  </si>
  <si>
    <t>SQJ459EP-T1_GE3</t>
  </si>
  <si>
    <t>-55℃~+175℃ 1 P-Channel 108nC@10V 18mΩ@10V 2.5V@250uA 27W 312pF 4.586nF 497pF 52A 60V P-Channel PowerPAKSO-8L MOSFETs ROHS</t>
  </si>
  <si>
    <t>C3188828</t>
  </si>
  <si>
    <t>LM25148RGYR</t>
  </si>
  <si>
    <t>-40℃~+125℃ 1 2.2MHz 3.5V~42V 800mV~36V 9.5uA Adjustable Buck Buck External Yes VQFN-24(5.5x3.5) DC-DC Converters ROHS</t>
  </si>
  <si>
    <t>C29536843</t>
  </si>
  <si>
    <t>IAUCN04S7L028ATMA1</t>
  </si>
  <si>
    <t>-55℃~+175℃ 1.578nF 1.8V@15uA 100A 2.82mΩ@10V 24nC@10V 36pF 40V 58W 788pF N-Channel TDSON-8 MOSFETs ROHS</t>
  </si>
  <si>
    <t>C2930101</t>
  </si>
  <si>
    <t>FRC0603F4122TS</t>
  </si>
  <si>
    <t>-55℃~+155℃ 100mW 41.2kΩ 75V Thick Film Resistor ±1% ±100ppm/℃ 0603 Chip Resistor - Surface Mount ROHS</t>
  </si>
  <si>
    <t>C2847583</t>
  </si>
  <si>
    <t>MDA1365-100M</t>
  </si>
  <si>
    <t>10A 10uH 13A 19.2mΩ ±20% SMD,13.5x12.6mm Inductors (SMD) ROHS</t>
  </si>
  <si>
    <t>C25962</t>
  </si>
  <si>
    <t>0603WAF2492T5E</t>
  </si>
  <si>
    <t>-55℃~+155℃ 100mW 24.9kΩ 75V Thick Film Resistor ±1% ±100ppm/℃ 0603 Chip Resistor - Surface Mount ROHS</t>
  </si>
  <si>
    <t>C25811</t>
  </si>
  <si>
    <t>0603WAF2003T5E</t>
  </si>
  <si>
    <t>-55℃~+155℃ 100mW 200kΩ 75V Thick Film Resistor ±1% ±100ppm/℃ 0603 Chip Resistor - Surface Mount ROHS</t>
  </si>
  <si>
    <t>C100771</t>
  </si>
  <si>
    <t>CR0603FA1432G</t>
  </si>
  <si>
    <t>-55℃~+125℃ 100mW 14.3kΩ 50V Thick Film Resistor ±1% ±100ppm/℃ 0603 Chip Resistor - Surface Mount ROHS</t>
  </si>
  <si>
    <t>C23184</t>
  </si>
  <si>
    <t>0603WAF4992T5E</t>
  </si>
  <si>
    <t>-55℃~+155℃ 100mW 49.9kΩ 75V Thick Film Resistor ±1% ±100ppm/℃ 0603 Chip Resistor - Surface Mount ROHS</t>
  </si>
  <si>
    <t>C224085</t>
  </si>
  <si>
    <t>TPSMB33CA</t>
  </si>
  <si>
    <t>-65℃~+175℃ 12.2uA 1A@10/1000us 28.2V 37.8V 49.9V 600W@10/1000us Bidirectional IEC 61000-4-2 TVS DO-214AA ESD and Surge Protection (TVS/ESD) ROHS</t>
  </si>
  <si>
    <t>C21397</t>
  </si>
  <si>
    <t>GRM32ER71E226KE15L</t>
  </si>
  <si>
    <t>22uF 25V X7R ±10% 1210 Multilayer Ceramic Capacitors MLCC - SMD/SMT ROHS</t>
  </si>
  <si>
    <t>C19606</t>
  </si>
  <si>
    <t>RVT1V331M1010</t>
  </si>
  <si>
    <t>-55℃~+105℃ 10.2mm 10mm 2000hrs@105℃ 330uF 35V ±20% SMD,D10xL10.5mm Aluminum Electrolytic Capacitors - SMD ROHS</t>
  </si>
  <si>
    <t>C185817</t>
  </si>
  <si>
    <t>RLM25FEER005</t>
  </si>
  <si>
    <t>2W 5mΩ Current Sense Resistor Surface Mount ±1% ±50ppm/℃ 2512 Current Sense Resistors / Shunt Resistors ROHS</t>
  </si>
  <si>
    <t>C17660</t>
  </si>
  <si>
    <t>0805W8F300KT5E</t>
  </si>
  <si>
    <t>-55℃~+155℃ 125mW 150V 3Ω Thick Film Resistor ±1% ±200ppm/℃ 0805 Chip Resistor - Surface Mount ROHS</t>
  </si>
  <si>
    <t>C17168</t>
  </si>
  <si>
    <t>0402WGF0000TCE</t>
  </si>
  <si>
    <t>-55℃~+155℃ 0Ω 50V 62.5mW Thick Film Resistor ±1% ±800ppm/℃ 0402 Chip Resistor - Surface Mount ROHS</t>
  </si>
  <si>
    <t>C1599</t>
  </si>
  <si>
    <t>0603B182K500NT</t>
  </si>
  <si>
    <t>1.8nF 50V X7R ±10% 0603 Multilayer Ceramic Capacitors MLCC - SMD/SMT ROHS</t>
  </si>
  <si>
    <t>C1591</t>
  </si>
  <si>
    <t>CL10B104KB8NNNC</t>
  </si>
  <si>
    <t>100nF 50V X7R ±10% 0603 Multilayer Ceramic Capacitors MLCC - SMD/SMT ROHS</t>
  </si>
  <si>
    <t>C152458</t>
  </si>
  <si>
    <t>BAT54T1G</t>
  </si>
  <si>
    <t>-55℃~+125℃ 200mA 2uA@25V 30V 600mA 800mV@100mA SOD-123 Schottky Diodes ROHS</t>
  </si>
  <si>
    <t>C15177</t>
  </si>
  <si>
    <t>CL21B102KCANNNC</t>
  </si>
  <si>
    <t>100V 1nF X7R ±10% 0805 Multilayer Ceramic Capacitors MLCC - SMD/SMT ROHS</t>
  </si>
  <si>
    <t>C101063</t>
  </si>
  <si>
    <t>CR0603FA4702G</t>
  </si>
  <si>
    <t>-55℃~+125℃ 100mW 47kΩ 50V Thick Film Resistor ±1% ±100ppm/℃ 0603 Chip Resistor - Surface Mount ROHS</t>
  </si>
  <si>
    <t>overseas_shop</t>
  </si>
  <si>
    <t>C25905937</t>
  </si>
  <si>
    <t>A785MN227M1VLAS023</t>
  </si>
  <si>
    <t>220 µF 35 V Aluminum - Polymer Capacitors Radial, Can - SMD 23mOhm 1000 Hrs @ 150°C</t>
  </si>
  <si>
    <t>C3735058</t>
  </si>
  <si>
    <t>DZ23C15-E3-08</t>
  </si>
  <si>
    <t>Zener Diodes 15 Volt 0.3 Watt 5%</t>
  </si>
  <si>
    <t>pcb</t>
  </si>
  <si>
    <t>comp</t>
  </si>
  <si>
    <t>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</si>
</sst>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5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K35" sqref="K35"/>
    </sheetView>
  </sheetViews>
  <sheetFormatPr defaultRowHeight="15"/>
  <cols>
    <col min="1" max="1" width="14.28515625" bestFit="1" customWidth="1"/>
    <col min="2" max="2" width="10.7109375" bestFit="1" customWidth="1"/>
    <col min="3" max="3" width="22" bestFit="1" customWidth="1"/>
    <col min="4" max="4" width="148" customWidth="1"/>
    <col min="5" max="5" width="10" customWidth="1"/>
    <col min="6" max="6" width="3" customWidth="1"/>
    <col min="7" max="7" width="11" customWidth="1"/>
  </cols>
  <sheetData>
    <row r="1" spans="1:10" ht="5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s="2" t="s">
        <v>7</v>
      </c>
      <c r="B2" s="2" t="s">
        <v>8</v>
      </c>
      <c r="C2" s="2" t="s">
        <v>9</v>
      </c>
      <c r="D2" s="2" t="s">
        <v>10</v>
      </c>
      <c r="E2" s="2">
        <v>1E-3</v>
      </c>
      <c r="F2" s="2">
        <v>20</v>
      </c>
      <c r="G2" s="2">
        <v>0.02</v>
      </c>
      <c r="H2" s="5">
        <v>1</v>
      </c>
      <c r="I2" s="5">
        <v>5</v>
      </c>
      <c r="J2">
        <f>E2*H2*I2</f>
        <v>5.0000000000000001E-3</v>
      </c>
    </row>
    <row r="3" spans="1:10">
      <c r="A3" s="2" t="s">
        <v>11</v>
      </c>
      <c r="B3" s="2" t="s">
        <v>12</v>
      </c>
      <c r="C3" s="2" t="s">
        <v>13</v>
      </c>
      <c r="D3" s="2" t="s">
        <v>14</v>
      </c>
      <c r="E3" s="2">
        <v>0.73050000000000004</v>
      </c>
      <c r="F3" s="2">
        <v>12</v>
      </c>
      <c r="G3" s="2">
        <v>8.77</v>
      </c>
      <c r="H3" s="5">
        <v>1</v>
      </c>
      <c r="I3" s="5">
        <v>5</v>
      </c>
      <c r="J3" s="4">
        <f t="shared" ref="J3:J29" si="0">E3*H3*I3</f>
        <v>3.6525000000000003</v>
      </c>
    </row>
    <row r="4" spans="1:10">
      <c r="A4" s="2" t="s">
        <v>7</v>
      </c>
      <c r="B4" s="2" t="s">
        <v>15</v>
      </c>
      <c r="C4" s="2" t="s">
        <v>16</v>
      </c>
      <c r="D4" s="2" t="s">
        <v>17</v>
      </c>
      <c r="E4" s="2">
        <v>5.3900000000000003E-2</v>
      </c>
      <c r="F4" s="2">
        <v>54</v>
      </c>
      <c r="G4" s="2">
        <v>2.92</v>
      </c>
      <c r="H4" s="5">
        <v>10</v>
      </c>
      <c r="I4" s="5">
        <v>5</v>
      </c>
      <c r="J4" s="4">
        <f t="shared" si="0"/>
        <v>2.6950000000000003</v>
      </c>
    </row>
    <row r="5" spans="1:10">
      <c r="A5" s="2" t="s">
        <v>7</v>
      </c>
      <c r="B5" s="2" t="s">
        <v>18</v>
      </c>
      <c r="C5" s="2" t="s">
        <v>19</v>
      </c>
      <c r="D5" s="2" t="s">
        <v>20</v>
      </c>
      <c r="E5" s="2">
        <v>6.4000000000000003E-3</v>
      </c>
      <c r="F5" s="2">
        <v>20</v>
      </c>
      <c r="G5" s="2">
        <v>0.13</v>
      </c>
      <c r="H5" s="3">
        <v>1</v>
      </c>
      <c r="I5" s="5">
        <v>5</v>
      </c>
      <c r="J5" s="4">
        <f t="shared" si="0"/>
        <v>3.2000000000000001E-2</v>
      </c>
    </row>
    <row r="6" spans="1:10">
      <c r="A6" s="2" t="s">
        <v>7</v>
      </c>
      <c r="B6" s="2" t="s">
        <v>21</v>
      </c>
      <c r="C6" s="2" t="s">
        <v>22</v>
      </c>
      <c r="D6" s="2" t="s">
        <v>23</v>
      </c>
      <c r="E6" s="2">
        <v>1.1220000000000001</v>
      </c>
      <c r="F6" s="2">
        <v>11</v>
      </c>
      <c r="G6" s="2">
        <v>12.35</v>
      </c>
      <c r="H6" s="3">
        <v>2</v>
      </c>
      <c r="I6" s="5">
        <v>5</v>
      </c>
      <c r="J6" s="4">
        <f t="shared" si="0"/>
        <v>11.22</v>
      </c>
    </row>
    <row r="7" spans="1:10">
      <c r="A7" s="2" t="s">
        <v>7</v>
      </c>
      <c r="B7" s="2" t="s">
        <v>24</v>
      </c>
      <c r="C7" s="2" t="s">
        <v>25</v>
      </c>
      <c r="D7" s="2" t="s">
        <v>26</v>
      </c>
      <c r="E7" s="2">
        <v>8.9999999999999993E-3</v>
      </c>
      <c r="F7" s="2">
        <v>20</v>
      </c>
      <c r="G7" s="2">
        <v>0.18</v>
      </c>
      <c r="H7" s="3">
        <v>2</v>
      </c>
      <c r="I7" s="5">
        <v>5</v>
      </c>
      <c r="J7" s="4">
        <f t="shared" si="0"/>
        <v>0.09</v>
      </c>
    </row>
    <row r="8" spans="1:10">
      <c r="A8" s="2" t="s">
        <v>7</v>
      </c>
      <c r="B8" s="2" t="s">
        <v>27</v>
      </c>
      <c r="C8" s="2" t="s">
        <v>28</v>
      </c>
      <c r="D8" s="2" t="s">
        <v>29</v>
      </c>
      <c r="E8" s="2">
        <v>0.87150000000000005</v>
      </c>
      <c r="F8" s="2">
        <v>5</v>
      </c>
      <c r="G8" s="2">
        <v>4.3600000000000003</v>
      </c>
      <c r="H8" s="3">
        <v>1</v>
      </c>
      <c r="I8" s="5">
        <v>5</v>
      </c>
      <c r="J8" s="4">
        <f t="shared" si="0"/>
        <v>4.3574999999999999</v>
      </c>
    </row>
    <row r="9" spans="1:10">
      <c r="A9" s="2" t="s">
        <v>7</v>
      </c>
      <c r="B9" s="2" t="s">
        <v>30</v>
      </c>
      <c r="C9" s="2" t="s">
        <v>31</v>
      </c>
      <c r="D9" s="2" t="s">
        <v>32</v>
      </c>
      <c r="E9" s="2">
        <v>1.8194999999999999</v>
      </c>
      <c r="F9" s="2">
        <v>5</v>
      </c>
      <c r="G9" s="2">
        <v>9.1</v>
      </c>
      <c r="H9" s="3">
        <v>1</v>
      </c>
      <c r="I9" s="5">
        <v>5</v>
      </c>
      <c r="J9" s="4">
        <f t="shared" si="0"/>
        <v>9.0975000000000001</v>
      </c>
    </row>
    <row r="10" spans="1:10">
      <c r="A10" s="2" t="s">
        <v>7</v>
      </c>
      <c r="B10" s="2" t="s">
        <v>33</v>
      </c>
      <c r="C10" s="2" t="s">
        <v>34</v>
      </c>
      <c r="D10" s="2" t="s">
        <v>35</v>
      </c>
      <c r="E10" s="2">
        <v>0.73199999999999998</v>
      </c>
      <c r="F10" s="2">
        <v>20</v>
      </c>
      <c r="G10" s="2">
        <v>14.64</v>
      </c>
      <c r="H10" s="3">
        <v>4</v>
      </c>
      <c r="I10" s="5">
        <v>5</v>
      </c>
      <c r="J10" s="4">
        <f t="shared" si="0"/>
        <v>14.64</v>
      </c>
    </row>
    <row r="11" spans="1:10">
      <c r="A11" s="2" t="s">
        <v>7</v>
      </c>
      <c r="B11" s="2" t="s">
        <v>36</v>
      </c>
      <c r="C11" s="2" t="s">
        <v>37</v>
      </c>
      <c r="D11" s="2" t="s">
        <v>38</v>
      </c>
      <c r="E11" s="2">
        <v>1E-3</v>
      </c>
      <c r="F11" s="2">
        <v>20</v>
      </c>
      <c r="G11" s="2">
        <v>0.02</v>
      </c>
      <c r="H11" s="3">
        <v>1</v>
      </c>
      <c r="I11" s="5">
        <v>5</v>
      </c>
      <c r="J11" s="4">
        <f t="shared" si="0"/>
        <v>5.0000000000000001E-3</v>
      </c>
    </row>
    <row r="12" spans="1:10">
      <c r="A12" s="2" t="s">
        <v>7</v>
      </c>
      <c r="B12" s="2" t="s">
        <v>39</v>
      </c>
      <c r="C12" s="2" t="s">
        <v>40</v>
      </c>
      <c r="D12" s="2" t="s">
        <v>41</v>
      </c>
      <c r="E12" s="2">
        <v>1.0125</v>
      </c>
      <c r="F12" s="2">
        <v>5</v>
      </c>
      <c r="G12" s="2">
        <v>5.07</v>
      </c>
      <c r="H12" s="3">
        <v>1</v>
      </c>
      <c r="I12" s="5">
        <v>5</v>
      </c>
      <c r="J12" s="4">
        <f t="shared" si="0"/>
        <v>5.0625</v>
      </c>
    </row>
    <row r="13" spans="1:10">
      <c r="A13" s="2" t="s">
        <v>7</v>
      </c>
      <c r="B13" s="2" t="s">
        <v>42</v>
      </c>
      <c r="C13" s="2" t="s">
        <v>43</v>
      </c>
      <c r="D13" s="2" t="s">
        <v>44</v>
      </c>
      <c r="E13" s="2">
        <v>1.1000000000000001E-3</v>
      </c>
      <c r="F13" s="2">
        <v>20</v>
      </c>
      <c r="G13" s="2">
        <v>0.03</v>
      </c>
      <c r="H13" s="3">
        <v>1</v>
      </c>
      <c r="I13" s="5">
        <v>5</v>
      </c>
      <c r="J13" s="4">
        <f t="shared" si="0"/>
        <v>5.5000000000000005E-3</v>
      </c>
    </row>
    <row r="14" spans="1:10">
      <c r="A14" s="2" t="s">
        <v>7</v>
      </c>
      <c r="B14" s="2" t="s">
        <v>45</v>
      </c>
      <c r="C14" s="2" t="s">
        <v>46</v>
      </c>
      <c r="D14" s="2" t="s">
        <v>47</v>
      </c>
      <c r="E14" s="2">
        <v>1.1000000000000001E-3</v>
      </c>
      <c r="F14" s="2">
        <v>20</v>
      </c>
      <c r="G14" s="2">
        <v>0.03</v>
      </c>
      <c r="H14" s="3">
        <v>1</v>
      </c>
      <c r="I14" s="5">
        <v>5</v>
      </c>
      <c r="J14" s="4">
        <f t="shared" si="0"/>
        <v>5.5000000000000005E-3</v>
      </c>
    </row>
    <row r="15" spans="1:10">
      <c r="A15" s="2" t="s">
        <v>7</v>
      </c>
      <c r="B15" s="2" t="s">
        <v>48</v>
      </c>
      <c r="C15" s="2" t="s">
        <v>49</v>
      </c>
      <c r="D15" s="2" t="s">
        <v>50</v>
      </c>
      <c r="E15" s="2">
        <v>6.9999999999999999E-4</v>
      </c>
      <c r="F15" s="2">
        <v>20</v>
      </c>
      <c r="G15" s="2">
        <v>0.02</v>
      </c>
      <c r="H15" s="3">
        <v>1</v>
      </c>
      <c r="I15" s="5">
        <v>5</v>
      </c>
      <c r="J15" s="4">
        <f t="shared" si="0"/>
        <v>3.5000000000000001E-3</v>
      </c>
    </row>
    <row r="16" spans="1:10">
      <c r="A16" s="2" t="s">
        <v>7</v>
      </c>
      <c r="B16" s="2" t="s">
        <v>51</v>
      </c>
      <c r="C16" s="2" t="s">
        <v>52</v>
      </c>
      <c r="D16" s="2" t="s">
        <v>53</v>
      </c>
      <c r="E16" s="2">
        <v>1.1000000000000001E-3</v>
      </c>
      <c r="F16" s="2">
        <v>20</v>
      </c>
      <c r="G16" s="2">
        <v>0.03</v>
      </c>
      <c r="H16" s="3">
        <v>1</v>
      </c>
      <c r="I16" s="5">
        <v>5</v>
      </c>
      <c r="J16" s="4">
        <f t="shared" si="0"/>
        <v>5.5000000000000005E-3</v>
      </c>
    </row>
    <row r="17" spans="1:10">
      <c r="A17" s="2" t="s">
        <v>7</v>
      </c>
      <c r="B17" s="2" t="s">
        <v>54</v>
      </c>
      <c r="C17" s="2" t="s">
        <v>55</v>
      </c>
      <c r="D17" s="2" t="s">
        <v>56</v>
      </c>
      <c r="E17" s="2">
        <v>0.1467</v>
      </c>
      <c r="F17" s="2">
        <v>5</v>
      </c>
      <c r="G17" s="2">
        <v>0.74</v>
      </c>
      <c r="H17" s="3">
        <v>1</v>
      </c>
      <c r="I17" s="5">
        <v>5</v>
      </c>
      <c r="J17" s="4">
        <f t="shared" si="0"/>
        <v>0.73350000000000004</v>
      </c>
    </row>
    <row r="18" spans="1:10">
      <c r="A18" s="2" t="s">
        <v>7</v>
      </c>
      <c r="B18" s="2" t="s">
        <v>57</v>
      </c>
      <c r="C18" s="2" t="s">
        <v>58</v>
      </c>
      <c r="D18" s="2" t="s">
        <v>59</v>
      </c>
      <c r="E18" s="2">
        <v>0.20369999999999999</v>
      </c>
      <c r="F18" s="2">
        <v>20</v>
      </c>
      <c r="G18" s="2">
        <v>4.08</v>
      </c>
      <c r="H18" s="3">
        <v>4</v>
      </c>
      <c r="I18" s="5">
        <v>5</v>
      </c>
      <c r="J18" s="4">
        <f t="shared" si="0"/>
        <v>4.0739999999999998</v>
      </c>
    </row>
    <row r="19" spans="1:10">
      <c r="A19" s="2" t="s">
        <v>7</v>
      </c>
      <c r="B19" s="2" t="s">
        <v>60</v>
      </c>
      <c r="C19" s="2" t="s">
        <v>61</v>
      </c>
      <c r="D19" s="2" t="s">
        <v>62</v>
      </c>
      <c r="E19" s="2">
        <v>0.1091</v>
      </c>
      <c r="F19" s="2">
        <v>6</v>
      </c>
      <c r="G19" s="2">
        <v>0.66</v>
      </c>
      <c r="H19" s="3">
        <v>1</v>
      </c>
      <c r="I19" s="5">
        <v>5</v>
      </c>
      <c r="J19" s="4">
        <f t="shared" si="0"/>
        <v>0.54549999999999998</v>
      </c>
    </row>
    <row r="20" spans="1:10">
      <c r="A20" s="2" t="s">
        <v>7</v>
      </c>
      <c r="B20" s="2" t="s">
        <v>63</v>
      </c>
      <c r="C20" s="2" t="s">
        <v>64</v>
      </c>
      <c r="D20" s="2" t="s">
        <v>65</v>
      </c>
      <c r="E20" s="2">
        <v>4.58E-2</v>
      </c>
      <c r="F20" s="2">
        <v>9</v>
      </c>
      <c r="G20" s="2">
        <v>0.42</v>
      </c>
      <c r="H20" s="3">
        <v>1</v>
      </c>
      <c r="I20" s="5">
        <v>5</v>
      </c>
      <c r="J20" s="4">
        <f t="shared" si="0"/>
        <v>0.22900000000000001</v>
      </c>
    </row>
    <row r="21" spans="1:10">
      <c r="A21" s="2" t="s">
        <v>7</v>
      </c>
      <c r="B21" s="2" t="s">
        <v>66</v>
      </c>
      <c r="C21" s="2" t="s">
        <v>67</v>
      </c>
      <c r="D21" s="2" t="s">
        <v>68</v>
      </c>
      <c r="E21" s="2">
        <v>3.0000000000000001E-3</v>
      </c>
      <c r="F21" s="2">
        <v>20</v>
      </c>
      <c r="G21" s="2">
        <v>0.06</v>
      </c>
      <c r="H21" s="3">
        <v>1</v>
      </c>
      <c r="I21" s="5">
        <v>5</v>
      </c>
      <c r="J21" s="4">
        <f t="shared" si="0"/>
        <v>1.4999999999999999E-2</v>
      </c>
    </row>
    <row r="22" spans="1:10">
      <c r="A22" s="2" t="s">
        <v>7</v>
      </c>
      <c r="B22" s="2" t="s">
        <v>69</v>
      </c>
      <c r="C22" s="2" t="s">
        <v>70</v>
      </c>
      <c r="D22" s="2" t="s">
        <v>71</v>
      </c>
      <c r="E22" s="2">
        <v>5.0000000000000001E-4</v>
      </c>
      <c r="F22" s="2">
        <v>40</v>
      </c>
      <c r="G22" s="2">
        <v>0.02</v>
      </c>
      <c r="H22" s="3">
        <v>6</v>
      </c>
      <c r="I22" s="5">
        <v>5</v>
      </c>
      <c r="J22" s="4">
        <f t="shared" si="0"/>
        <v>1.4999999999999999E-2</v>
      </c>
    </row>
    <row r="23" spans="1:10">
      <c r="A23" s="2" t="s">
        <v>7</v>
      </c>
      <c r="B23" s="2" t="s">
        <v>72</v>
      </c>
      <c r="C23" s="2" t="s">
        <v>73</v>
      </c>
      <c r="D23" s="2" t="s">
        <v>74</v>
      </c>
      <c r="E23" s="2">
        <v>3.0000000000000001E-3</v>
      </c>
      <c r="F23" s="2">
        <v>20</v>
      </c>
      <c r="G23" s="2">
        <v>0.06</v>
      </c>
      <c r="H23" s="3">
        <v>1</v>
      </c>
      <c r="I23" s="5">
        <v>5</v>
      </c>
      <c r="J23" s="4">
        <f t="shared" si="0"/>
        <v>1.4999999999999999E-2</v>
      </c>
    </row>
    <row r="24" spans="1:10">
      <c r="A24" s="2" t="s">
        <v>7</v>
      </c>
      <c r="B24" s="2" t="s">
        <v>75</v>
      </c>
      <c r="C24" s="2" t="s">
        <v>76</v>
      </c>
      <c r="D24" s="2" t="s">
        <v>77</v>
      </c>
      <c r="E24" s="2">
        <v>2.5999999999999999E-3</v>
      </c>
      <c r="F24" s="2">
        <v>70</v>
      </c>
      <c r="G24" s="2">
        <v>0.19</v>
      </c>
      <c r="H24" s="3">
        <v>12</v>
      </c>
      <c r="I24" s="5">
        <v>5</v>
      </c>
      <c r="J24" s="4">
        <f t="shared" si="0"/>
        <v>0.156</v>
      </c>
    </row>
    <row r="25" spans="1:10">
      <c r="A25" s="2" t="s">
        <v>7</v>
      </c>
      <c r="B25" s="2" t="s">
        <v>78</v>
      </c>
      <c r="C25" s="2" t="s">
        <v>79</v>
      </c>
      <c r="D25" s="2" t="s">
        <v>80</v>
      </c>
      <c r="E25" s="2">
        <v>2.0899999999999998E-2</v>
      </c>
      <c r="F25" s="2">
        <v>9</v>
      </c>
      <c r="G25" s="2">
        <v>0.19</v>
      </c>
      <c r="H25" s="3">
        <v>1</v>
      </c>
      <c r="I25" s="5">
        <v>5</v>
      </c>
      <c r="J25" s="4">
        <f t="shared" si="0"/>
        <v>0.1045</v>
      </c>
    </row>
    <row r="26" spans="1:10">
      <c r="A26" s="2" t="s">
        <v>7</v>
      </c>
      <c r="B26" s="2" t="s">
        <v>81</v>
      </c>
      <c r="C26" s="2" t="s">
        <v>82</v>
      </c>
      <c r="D26" s="2" t="s">
        <v>83</v>
      </c>
      <c r="E26" s="2">
        <v>8.9999999999999993E-3</v>
      </c>
      <c r="F26" s="2">
        <v>20</v>
      </c>
      <c r="G26" s="2">
        <v>0.18</v>
      </c>
      <c r="H26" s="3">
        <v>1</v>
      </c>
      <c r="I26" s="5">
        <v>5</v>
      </c>
      <c r="J26" s="4">
        <f t="shared" si="0"/>
        <v>4.4999999999999998E-2</v>
      </c>
    </row>
    <row r="27" spans="1:10">
      <c r="A27" s="2" t="s">
        <v>7</v>
      </c>
      <c r="B27" s="2" t="s">
        <v>84</v>
      </c>
      <c r="C27" s="2" t="s">
        <v>85</v>
      </c>
      <c r="D27" s="2" t="s">
        <v>86</v>
      </c>
      <c r="E27" s="2">
        <v>1.2999999999999999E-3</v>
      </c>
      <c r="F27" s="2">
        <v>20</v>
      </c>
      <c r="G27" s="2">
        <v>0.03</v>
      </c>
      <c r="H27" s="3">
        <v>1</v>
      </c>
      <c r="I27" s="5">
        <v>5</v>
      </c>
      <c r="J27" s="4">
        <f t="shared" si="0"/>
        <v>6.4999999999999997E-3</v>
      </c>
    </row>
    <row r="28" spans="1:10">
      <c r="A28" s="5" t="s">
        <v>87</v>
      </c>
      <c r="B28" s="5" t="s">
        <v>88</v>
      </c>
      <c r="C28" s="5" t="s">
        <v>89</v>
      </c>
      <c r="D28" s="5" t="s">
        <v>90</v>
      </c>
      <c r="E28" s="5">
        <v>1.0765</v>
      </c>
      <c r="F28" s="5">
        <v>10</v>
      </c>
      <c r="G28" s="5">
        <v>10.77</v>
      </c>
      <c r="H28" s="3">
        <v>2</v>
      </c>
      <c r="I28" s="5">
        <v>5</v>
      </c>
      <c r="J28" s="4">
        <f t="shared" si="0"/>
        <v>10.765000000000001</v>
      </c>
    </row>
    <row r="29" spans="1:10">
      <c r="A29" s="5" t="s">
        <v>87</v>
      </c>
      <c r="B29" s="5" t="s">
        <v>91</v>
      </c>
      <c r="C29" s="5" t="s">
        <v>92</v>
      </c>
      <c r="D29" s="5" t="s">
        <v>93</v>
      </c>
      <c r="E29" s="5">
        <v>7.9500000000000001E-2</v>
      </c>
      <c r="F29" s="5">
        <v>268</v>
      </c>
      <c r="G29" s="5">
        <v>21.31</v>
      </c>
      <c r="H29" s="3">
        <v>1</v>
      </c>
      <c r="I29" s="5">
        <v>5</v>
      </c>
      <c r="J29" s="4">
        <f t="shared" si="0"/>
        <v>0.39750000000000002</v>
      </c>
    </row>
    <row r="30" spans="1:10">
      <c r="I30" t="s">
        <v>95</v>
      </c>
      <c r="J30">
        <f>SUM(J2:J29)</f>
        <v>67.978499999999997</v>
      </c>
    </row>
    <row r="31" spans="1:10">
      <c r="I31" t="s">
        <v>94</v>
      </c>
      <c r="J31">
        <v>7</v>
      </c>
    </row>
    <row r="32" spans="1:10">
      <c r="I32" t="s">
        <v>96</v>
      </c>
      <c r="J32">
        <v>30</v>
      </c>
    </row>
    <row r="33" spans="10:10">
      <c r="J33">
        <f>SUM(J30:J32)</f>
        <v>104.9785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Aleksandar Aleksic</cp:lastModifiedBy>
  <dcterms:created xsi:type="dcterms:W3CDTF">2025-10-29T10:46:44Z</dcterms:created>
  <dcterms:modified xsi:type="dcterms:W3CDTF">2025-10-29T11:39:59Z</dcterms:modified>
</cp:coreProperties>
</file>