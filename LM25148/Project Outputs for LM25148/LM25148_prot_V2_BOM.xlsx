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KTI\120W_DC_SUPPLY\120W_PSU_LM25148\LM25148\Project Outputs for LM25148\"/>
    </mc:Choice>
  </mc:AlternateContent>
  <xr:revisionPtr revIDLastSave="0" documentId="13_ncr:1_{DD79F232-675B-4DBA-97C9-1EF6CA1E02A5}" xr6:coauthVersionLast="47" xr6:coauthVersionMax="47" xr10:uidLastSave="{00000000-0000-0000-0000-000000000000}"/>
  <bookViews>
    <workbookView xWindow="28680" yWindow="-120" windowWidth="29040" windowHeight="16440" xr2:uid="{5F828A44-817E-491C-947F-BC1F0A540DDA}"/>
  </bookViews>
  <sheets>
    <sheet name="LM25148_prot_V2_BOM" sheetId="1" r:id="rId1"/>
  </sheets>
  <definedNames>
    <definedName name="_xlnm.Print_Titles" localSheetId="0">LM25148_prot_V2_BOM!$1:$1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J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</calcChain>
</file>

<file path=xl/sharedStrings.xml><?xml version="1.0" encoding="utf-8"?>
<sst xmlns="http://schemas.openxmlformats.org/spreadsheetml/2006/main" count="271" uniqueCount="254">
  <si>
    <t>DigiKey Part Number</t>
  </si>
  <si>
    <t>Mouser Part Number</t>
  </si>
  <si>
    <t>Comment</t>
  </si>
  <si>
    <t>Description</t>
  </si>
  <si>
    <t>Designator</t>
  </si>
  <si>
    <t>Footprint</t>
  </si>
  <si>
    <t>LibRef</t>
  </si>
  <si>
    <t>Quantity</t>
  </si>
  <si>
    <t>ComponentLink1URL</t>
  </si>
  <si>
    <t>ComponentLink2URL</t>
  </si>
  <si>
    <t>Manufacturer Product Number</t>
  </si>
  <si>
    <t>565-EMZR500ARA331MJA0GCT-ND</t>
  </si>
  <si>
    <t>330uF</t>
  </si>
  <si>
    <t>330 µF 50 V Aluminum Electrolytic Capacitors Radial, Can - SMD 120mOhm @ 100kHz 2000 Hrs @ 105°C</t>
  </si>
  <si>
    <t>C1</t>
  </si>
  <si>
    <t>CAPAE109103X103M</t>
  </si>
  <si>
    <t>C000026</t>
  </si>
  <si>
    <t>https://www.digikey.com/en/products/detail/chemi-con/EMZR500ARA331MJA0G/5824768</t>
  </si>
  <si>
    <t>EMZR500ARA331MJA0G</t>
  </si>
  <si>
    <t>1276-6767-1-ND</t>
  </si>
  <si>
    <t>10uF</t>
  </si>
  <si>
    <t>10 µF ±10% 50V Ceramic Capacitor X7R 1206 (3216 Metric)</t>
  </si>
  <si>
    <t>C2, C3, C4, C5, C9, C14, C16, C34, C35, C36</t>
  </si>
  <si>
    <t>CAP_1206</t>
  </si>
  <si>
    <t>C000017</t>
  </si>
  <si>
    <t>https://www.digikey.com/en/products/detail/samsung-electro-mechanics/CL31B106KBHNNNE/5961251</t>
  </si>
  <si>
    <t>CL31B106KBHNNNE</t>
  </si>
  <si>
    <t>1276-1000-1-ND</t>
  </si>
  <si>
    <t>0.1uF</t>
  </si>
  <si>
    <t>0.1 µF ±10% 50V Ceramic Capacitor X7R 0603 (1608 Metric)</t>
  </si>
  <si>
    <t>C6, C7, C8, C11, C12, C13, C15, C37</t>
  </si>
  <si>
    <t>CAP_0603</t>
  </si>
  <si>
    <t>C000018</t>
  </si>
  <si>
    <t>https://www.digikey.com/en/products/detail/samsung-electro-mechanics/CL10B104KB8NNNC/3886658</t>
  </si>
  <si>
    <t>CL10B104KB8NNNC</t>
  </si>
  <si>
    <t>490-12731-1-ND</t>
  </si>
  <si>
    <t>2.2uF</t>
  </si>
  <si>
    <t>8 pF ±0.05pF 25V Ceramic Capacitor C0G, NP0 01005 (0402 Metric)</t>
  </si>
  <si>
    <t>C10, C33</t>
  </si>
  <si>
    <t>C000014</t>
  </si>
  <si>
    <t>https://www.digikey.com/en/products/detail/murata-electronics/GRM188C71C225KE11D/4905311</t>
  </si>
  <si>
    <t>GRM188C71C225KE11D</t>
  </si>
  <si>
    <t>478-KAM15AR71E104KTCT-ND</t>
  </si>
  <si>
    <t>100nF</t>
  </si>
  <si>
    <t>0.1 µF ±10% 25V Ceramic Capacitor X7R 0603 (1608 Metric)</t>
  </si>
  <si>
    <t>C17, C18, C29, C32</t>
  </si>
  <si>
    <t>C000007</t>
  </si>
  <si>
    <t>https://www.digikey.com/en/products/detail/kyocera-avx/06033C104K4T2A/8019250</t>
  </si>
  <si>
    <t>KAM15AR71E104KT</t>
  </si>
  <si>
    <t>1276-3392-1-ND</t>
  </si>
  <si>
    <t>22uF</t>
  </si>
  <si>
    <t>22 µF ±10% 25V Ceramic Capacitor X7R 1210 (3225 Metric)</t>
  </si>
  <si>
    <t>C19, C20, C21, C22</t>
  </si>
  <si>
    <t>CAP_1210</t>
  </si>
  <si>
    <t>C000032</t>
  </si>
  <si>
    <t>https://www.digikey.com/en/products/detail/samsung-electro-mechanics/CL32B226KAJNNNE/3889050</t>
  </si>
  <si>
    <t>CL32B226KAJNNNE</t>
  </si>
  <si>
    <t>399-A785MN227M1VLAS023CT-ND</t>
  </si>
  <si>
    <t>220uF</t>
  </si>
  <si>
    <t>220 µF 35 V Aluminum - Polymer Capacitors Radial, Can - SMD 23mOhm 1000 Hrs @ 150°C</t>
  </si>
  <si>
    <t>C23, C24</t>
  </si>
  <si>
    <t>C000033</t>
  </si>
  <si>
    <t>https://www.digikey.com/en/products/detail/kemet/A785MN227M1VLAS023/22003773?s=N4IgTCBcDaIIIHYAcBWAsgOTGBaCMAagDJwDKADGAMwgC6AvkA</t>
  </si>
  <si>
    <t>A785MN227M1VLAS023</t>
  </si>
  <si>
    <t>399-15370-1-ND</t>
  </si>
  <si>
    <t>1.8nF</t>
  </si>
  <si>
    <t>1800 pF ±10% 25V Ceramic Capacitor X7R 0603 (1608 Metric)</t>
  </si>
  <si>
    <t>C30</t>
  </si>
  <si>
    <t>C000027</t>
  </si>
  <si>
    <t>https://www.digikey.com/en/products/detail/kemet/C0603C182K3RAC7867/2200107</t>
  </si>
  <si>
    <t>C0603C182K3RACTU</t>
  </si>
  <si>
    <t>2946-2601-1102-ND</t>
  </si>
  <si>
    <t>TERM BLK PCB LEVER 3.5MM 2POS</t>
  </si>
  <si>
    <t>2 Position Wire to Board Terminal Block Horizontal with Board 0.138" (3.50mm) Through Hole</t>
  </si>
  <si>
    <t>CN1, CN2</t>
  </si>
  <si>
    <t>CONN2_2601-1102_WAG</t>
  </si>
  <si>
    <t>00000017</t>
  </si>
  <si>
    <t>https://www.digikey.com/en/products/detail/wago-corporation/2601-1102/17122694</t>
  </si>
  <si>
    <t>2601-1102</t>
  </si>
  <si>
    <t>311-1472-1-ND</t>
  </si>
  <si>
    <t>1nF</t>
  </si>
  <si>
    <t>1000 pF ±10% 100V Ceramic Capacitor X7R 0805 (2012 Metric)</t>
  </si>
  <si>
    <t>CSN</t>
  </si>
  <si>
    <t>CAP_0805</t>
  </si>
  <si>
    <t>C000035</t>
  </si>
  <si>
    <t>https://www.digikey.com/en/products/detail/yageo/CC0805KRX7R0BB102/2833637</t>
  </si>
  <si>
    <t>CC0805KRX7R0BB102</t>
  </si>
  <si>
    <t>296-LM25148RGYRCT-ND</t>
  </si>
  <si>
    <t>595-LM25148RGYR</t>
  </si>
  <si>
    <t>LM25148RGYR 42-V SYNCHRONOUS BUCK DC/DC CONT</t>
  </si>
  <si>
    <t>Buck Regulator Positive Output Step-Down DC-DC Controller IC 24-VQFN (5.5x3.5)</t>
  </si>
  <si>
    <t>IC1</t>
  </si>
  <si>
    <t>VQFN25_RGY_TEX</t>
  </si>
  <si>
    <t>LM25148RGYR</t>
  </si>
  <si>
    <t>https://www.digikey.com/en/products/detail/texas-instruments/LM25148RGYR/15857124</t>
  </si>
  <si>
    <t>https://eu.mouser.com/ProductDetail/Texas-Instruments/LM25148RGYR?qs=doiCPypUmgEViljGB5jAZw%3D%3D</t>
  </si>
  <si>
    <t>541-IHLP3232DZER2R2M5ACT-ND</t>
  </si>
  <si>
    <t>70-IHLP3232DZR2R2M5A</t>
  </si>
  <si>
    <t>2.2uH</t>
  </si>
  <si>
    <t>FIXED IND 2.2UH 11.5A 12.5 MOHM</t>
  </si>
  <si>
    <t>L1</t>
  </si>
  <si>
    <t>IHLP-3232DZ-51</t>
  </si>
  <si>
    <t>L000015</t>
  </si>
  <si>
    <t>https://www.digikey.com/en/products/detail/vishay-dale/IHLP3232DZER2R2M5A/4070222</t>
  </si>
  <si>
    <t>https://eu.mouser.com/ProductDetail/Vishay-Dale/IHLP3232DZER2R2M5A?qs=tDDpbAIEejr3%252BeiaEh99%252Bg%3D%3D</t>
  </si>
  <si>
    <t>IHLP3232DZER2R2M5A</t>
  </si>
  <si>
    <t>553-4029-1-ND</t>
  </si>
  <si>
    <t>673-PA4343.103ANLT</t>
  </si>
  <si>
    <t>10uH</t>
  </si>
  <si>
    <t>FIXED IND 10UH 11A 15.8 MOHM SMD</t>
  </si>
  <si>
    <t>L2</t>
  </si>
  <si>
    <t>INDP135126X65N</t>
  </si>
  <si>
    <t>L000016</t>
  </si>
  <si>
    <t>https://www.digikey.com/en/products/detail/pulse-electronics/PA4343-103ANLT/7943151?s=N4IgTCBcDaIAoEEAsBmVA6AjABhQgcgDIAqIAugL5A</t>
  </si>
  <si>
    <t>https://eu.mouser.com/ProductDetail/Pulse-Electronics/PA4343.103ANLT?qs=chTDxNqvsym%252BWuIQdh7qfw%3D%3D</t>
  </si>
  <si>
    <t>PA4343.103ANLT</t>
  </si>
  <si>
    <t>448-IAUCN04S7L028ATMA1CT-ND</t>
  </si>
  <si>
    <t>726-IAUCN04S7L028ATM</t>
  </si>
  <si>
    <t>IAUCN04S7L028ATMA1</t>
  </si>
  <si>
    <t>N-Channel 40 V 100A Surface Mount PG-TDSON-8-33</t>
  </si>
  <si>
    <t>Q1, Q2, Q3, Q4</t>
  </si>
  <si>
    <t>PG-TDSON-8-33</t>
  </si>
  <si>
    <t>00000014</t>
  </si>
  <si>
    <t>https://www.digikey.com/en/products/detail/infineon-technologies/IAUCN04S7L028ATMA1/22157720?s=N4IgTCBcDaIJIEECqBhAcgBgCwGUDsAMhmABwgC6AvkA</t>
  </si>
  <si>
    <t>https://eu.mouser.com/ProductDetail/Infineon-Technologies/IAUCN04S7L028ATMA1?qs=mELouGlnn3deeHozE86VbA%3D%3D</t>
  </si>
  <si>
    <t>SQJ459EP-T1_GE3CT-ND</t>
  </si>
  <si>
    <t>78-SQJ459EP-T2_BE3</t>
  </si>
  <si>
    <t>SQJ659EP PMOS</t>
  </si>
  <si>
    <t>P-Channel 60 V 52A (Tc) 83W (Tc) Surface Mount PowerPAK® SO-8</t>
  </si>
  <si>
    <t>Q_RP</t>
  </si>
  <si>
    <t>PowerPAK SO-8L SINGLE</t>
  </si>
  <si>
    <t>00000005</t>
  </si>
  <si>
    <t>https://www.digikey.com/en/products/detail/vishay-siliconix/SQJ459EP-T1-GE3/6708881</t>
  </si>
  <si>
    <t>https://eu.mouser.com/ProductDetail/Vishay-Siliconix/SQJ459EP-T2_BE3?qs=CiayqK2gdcKpg8h0vLRPjA%3D%3D</t>
  </si>
  <si>
    <t>SQJ459EP-T1_GE3</t>
  </si>
  <si>
    <t>541-49.9KHCT-ND</t>
  </si>
  <si>
    <t>49.9kOhm</t>
  </si>
  <si>
    <t>49.9 kOhms ±1% 0.1W, 1/10W Chip Resistor 0603 (1608 Metric) Moisture Resistant Thick Film</t>
  </si>
  <si>
    <t>R2</t>
  </si>
  <si>
    <t>RES_0603</t>
  </si>
  <si>
    <t>R000025</t>
  </si>
  <si>
    <t>https://www.digikey.com/en/products/detail/vishay-dale/CRCW060349K9FKEA/1180003</t>
  </si>
  <si>
    <t>CRCW060349K9FKEA</t>
  </si>
  <si>
    <t>CRF2512-FZ-R005ELFCT-ND</t>
  </si>
  <si>
    <t>5mOhm</t>
  </si>
  <si>
    <t>5 mOhms ±1% 2W Chip Resistor 2512 (6332 Metric) Automotive AEC-Q200, Current Sense, Moisture Resistant Metal Element</t>
  </si>
  <si>
    <t>R4</t>
  </si>
  <si>
    <t>SENSE_RES_2512</t>
  </si>
  <si>
    <t>R000033</t>
  </si>
  <si>
    <t>https://www.digikey.com/en/products/detail/bourns-inc/CRF2512-FZ-R005ELF/6210986</t>
  </si>
  <si>
    <t>CRF2512-FZ-R005ELF</t>
  </si>
  <si>
    <t>P24.9KHCT-ND</t>
  </si>
  <si>
    <t>24.9kOhm</t>
  </si>
  <si>
    <t>24.9 kOhms ±1% 0.1W, 1/10W Chip Resistor 0603 (1608 Metric) Automotive AEC-Q200 Thick Film</t>
  </si>
  <si>
    <t>R6</t>
  </si>
  <si>
    <t>R000017</t>
  </si>
  <si>
    <t>https://www.digikey.com/en/products/detail/panasonic-electronic-components/ERJ-3EKF2492V/196236</t>
  </si>
  <si>
    <t>ERJ-3EKF2492V</t>
  </si>
  <si>
    <t>P0.0JCT-ND</t>
  </si>
  <si>
    <t>0 Ohm Jump</t>
  </si>
  <si>
    <t>0 Ohms Jumper Chip Resistor 0402 (1005 Metric) Automotive AEC-Q200 Thick Film</t>
  </si>
  <si>
    <t>R8, R10, RQ1, RQ2, RQ3, RQ4</t>
  </si>
  <si>
    <t>RES_0402</t>
  </si>
  <si>
    <t>R000008</t>
  </si>
  <si>
    <t>https://www.digikey.com/en/products/detail/panasonic-electronic-components/ERJ-2GE0R00X/146727</t>
  </si>
  <si>
    <t>ERJ-2GE0R00X</t>
  </si>
  <si>
    <t>RMCF0603FG100KCT-ND</t>
  </si>
  <si>
    <t>100kOhm</t>
  </si>
  <si>
    <t>100 kOhms ±1% 0.1W, 1/10W Chip Resistor 0603 (1608 Metric) Automotive AEC-Q200 Thick Film</t>
  </si>
  <si>
    <t>R9</t>
  </si>
  <si>
    <t>R000006</t>
  </si>
  <si>
    <t>https://www.digikey.com/en/products/detail/stackpole-electronics-inc/RMCF0603FG100K/1713543</t>
  </si>
  <si>
    <t>RMCF0603FG100K</t>
  </si>
  <si>
    <t>P41.2KHCT-ND</t>
  </si>
  <si>
    <t>41.2kOhm</t>
  </si>
  <si>
    <t>41.2 kOhms ±1% 0.1W, 1/10W Chip Resistor 0603 (1608 Metric) Automotive AEC-Q200 Thick Film</t>
  </si>
  <si>
    <t>R11</t>
  </si>
  <si>
    <t>R000015</t>
  </si>
  <si>
    <t>https://www.digikey.com/en/products/detail/panasonic-electronic-components/ERJ-3EKF4122V/196347</t>
  </si>
  <si>
    <t>ERJ-3EKF4122V</t>
  </si>
  <si>
    <t>13-RT0603BRD0749K3LCT-ND</t>
  </si>
  <si>
    <t>49.3kOhm</t>
  </si>
  <si>
    <t>49.3 kOhms ±0.1% 0.1W, 1/10W Chip Resistor 0603 (1608 Metric) Thin Film</t>
  </si>
  <si>
    <t>R12</t>
  </si>
  <si>
    <t>R000023</t>
  </si>
  <si>
    <t>https://www.digikey.com/en/products/detail/yageo/RT0603BRD0749K3L/5927964</t>
  </si>
  <si>
    <t>RT0603BRD0749K3L</t>
  </si>
  <si>
    <t>311-47.0KHRCT-ND</t>
  </si>
  <si>
    <t>47kOhm</t>
  </si>
  <si>
    <t>47 kOhms ±1% 0.1W, 1/10W Chip Resistor 0603 (1608 Metric) Moisture Resistant Thick Film</t>
  </si>
  <si>
    <t>R_RP</t>
  </si>
  <si>
    <t>R000010</t>
  </si>
  <si>
    <t>https://www.digikey.com/en/products/detail/yageo/RC0603FR-0747KL/727253</t>
  </si>
  <si>
    <t>RC0603FR-0747KL</t>
  </si>
  <si>
    <t>311-3.00CRCT-ND</t>
  </si>
  <si>
    <t>3 Ohm</t>
  </si>
  <si>
    <t>3 Ohms ±1% 0.125W, 1/8W Chip Resistor 0805 (2012 Metric) Moisture Resistant Thick Film</t>
  </si>
  <si>
    <t>RSN</t>
  </si>
  <si>
    <t>RES_0805</t>
  </si>
  <si>
    <t>R000034</t>
  </si>
  <si>
    <t>https://www.digikey.com/en/products/detail/yageo/RC0805FR-073RL/727799</t>
  </si>
  <si>
    <t>RC0805FR-073RL</t>
  </si>
  <si>
    <t>311-200KHRCT-ND</t>
  </si>
  <si>
    <t>200kOhm</t>
  </si>
  <si>
    <t>200 kOhms ±1% 0.1W, 1/10W Chip Resistor 0603 (1608 Metric) Moisture Resistant Thick Film</t>
  </si>
  <si>
    <t>RUV1</t>
  </si>
  <si>
    <t>R000031</t>
  </si>
  <si>
    <t>https://www.digikey.com/en/products/detail/yageo/RC0603FR-07200KL/727044</t>
  </si>
  <si>
    <t>RC0603FR-07200KL</t>
  </si>
  <si>
    <t>RMCF0603FT14K3CT-ND</t>
  </si>
  <si>
    <t>14.3kOhm</t>
  </si>
  <si>
    <t>14.3 kOhms ±1% 0.1W, 1/10W Chip Resistor 0603 (1608 Metric) Automotive AEC-Q200 Thick Film</t>
  </si>
  <si>
    <t>RUV2</t>
  </si>
  <si>
    <t>R000032</t>
  </si>
  <si>
    <t>https://www.digikey.com/en/products/detail/stackpole-electronics-inc/RMCF0603FT14K3/1761296</t>
  </si>
  <si>
    <t>RMCF0603FT14K3</t>
  </si>
  <si>
    <t>BAT54T1GOSCT-ND</t>
  </si>
  <si>
    <t>BAT54T1G Schottky</t>
  </si>
  <si>
    <t>Diode 30 V 200mA Surface Mount SOD-123</t>
  </si>
  <si>
    <t>SD1</t>
  </si>
  <si>
    <t>SODFL371X135-2N</t>
  </si>
  <si>
    <t>00000009</t>
  </si>
  <si>
    <t>https://www.digikey.com/en/products/detail/onsemi/BAT54T1G/918319</t>
  </si>
  <si>
    <t>BAT54T1G</t>
  </si>
  <si>
    <t>F6323CT-ND</t>
  </si>
  <si>
    <t>TPSMB33CA</t>
  </si>
  <si>
    <t>45.7V Clamp 13.3A Ipp Tvs Diode Surface Mount DO-214AA (SMBJ)</t>
  </si>
  <si>
    <t>TVS1</t>
  </si>
  <si>
    <t>DO-214AA</t>
  </si>
  <si>
    <t>00000015</t>
  </si>
  <si>
    <t>https://www.digikey.com/en/products/detail/littelfuse-inc/TPSMB33CA/4835275</t>
  </si>
  <si>
    <t>112-DZ23C15-E3-08CT-ND</t>
  </si>
  <si>
    <t>DZ23C15-E3-08 Zener Diode</t>
  </si>
  <si>
    <t>Zener Diode Array 1 Pair Common Cathode 15 V 300 mW ±5% SOT-23-3</t>
  </si>
  <si>
    <t>ZD_RP</t>
  </si>
  <si>
    <t>SOT95P245X96-3N</t>
  </si>
  <si>
    <t>00000006</t>
  </si>
  <si>
    <t>https://www.digikey.com/en/products/detail/vishay-general-semiconductor-diodes-division/DZ23C15-E3-08/4831460</t>
  </si>
  <si>
    <t>DZ23C15-E3-08</t>
  </si>
  <si>
    <t>Local price</t>
  </si>
  <si>
    <t>Total</t>
  </si>
  <si>
    <t>1.68</t>
  </si>
  <si>
    <t>23.48</t>
  </si>
  <si>
    <t>14.04</t>
  </si>
  <si>
    <t>31.23</t>
  </si>
  <si>
    <t>254.58</t>
  </si>
  <si>
    <t>310.22</t>
  </si>
  <si>
    <t>2.10</t>
  </si>
  <si>
    <t>6.92</t>
  </si>
  <si>
    <t>3.98</t>
  </si>
  <si>
    <t>21.59</t>
  </si>
  <si>
    <t>1.47</t>
  </si>
  <si>
    <t>Total one PCB</t>
  </si>
  <si>
    <t>These prices are estimated - not yet officialy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</si>
</sst>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3" xfId="0" applyFill="1" applyBorder="1"/>
    <xf numFmtId="0" fontId="0" fillId="0" borderId="3" xfId="0" quotePrefix="1" applyBorder="1"/>
    <xf numFmtId="0" fontId="1" fillId="0" borderId="1" xfId="1" quotePrefix="1" applyBorder="1"/>
    <xf numFmtId="0" fontId="0" fillId="0" borderId="2" xfId="0" quotePrefix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0" fillId="0" borderId="4" xfId="0" applyBorder="1"/>
    <xf numFmtId="0" fontId="0" fillId="3" borderId="1" xfId="0" quotePrefix="1" applyFill="1" applyBorder="1"/>
    <xf numFmtId="0" fontId="0" fillId="3" borderId="1" xfId="0" applyFill="1" applyBorder="1"/>
    <xf numFmtId="0" fontId="0" fillId="3" borderId="2" xfId="0" quotePrefix="1" applyFill="1" applyBorder="1" applyAlignment="1">
      <alignment horizontal="right" vertical="center"/>
    </xf>
    <xf numFmtId="0" fontId="0" fillId="3" borderId="3" xfId="0" quotePrefix="1" applyFill="1" applyBorder="1"/>
    <xf numFmtId="0" fontId="1" fillId="3" borderId="1" xfId="1" quotePrefix="1" applyFill="1" applyBorder="1"/>
    <xf numFmtId="0" fontId="0" fillId="3" borderId="0" xfId="0" applyFill="1"/>
    <xf numFmtId="0" fontId="0" fillId="3" borderId="0" xfId="0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emet/C0603C182K3RAC7867/2200107" TargetMode="External"/><Relationship Id="rId13" Type="http://schemas.openxmlformats.org/officeDocument/2006/relationships/hyperlink" Target="https://www.digikey.com/en/products/detail/pulse-electronics/PA4343-103ANLT/7943151?s=N4IgTCBcDaIAoEEAsBmVA6AjABhQgcgDIAqIAugL5A" TargetMode="External"/><Relationship Id="rId18" Type="http://schemas.openxmlformats.org/officeDocument/2006/relationships/hyperlink" Target="https://www.digikey.com/en/products/detail/panasonic-electronic-components/ERJ-3EKF2492V/196236" TargetMode="External"/><Relationship Id="rId26" Type="http://schemas.openxmlformats.org/officeDocument/2006/relationships/hyperlink" Target="https://www.digikey.com/en/products/detail/stackpole-electronics-inc/RMCF0603FT14K3/1761296" TargetMode="External"/><Relationship Id="rId3" Type="http://schemas.openxmlformats.org/officeDocument/2006/relationships/hyperlink" Target="https://www.digikey.com/en/products/detail/samsung-electro-mechanics/CL10B104KB8NNNC/3886658" TargetMode="External"/><Relationship Id="rId21" Type="http://schemas.openxmlformats.org/officeDocument/2006/relationships/hyperlink" Target="https://www.digikey.com/en/products/detail/panasonic-electronic-components/ERJ-3EKF4122V/196347" TargetMode="External"/><Relationship Id="rId7" Type="http://schemas.openxmlformats.org/officeDocument/2006/relationships/hyperlink" Target="https://www.digikey.com/en/products/detail/kemet/A785MN227M1VLAS023/22003773?s=N4IgTCBcDaIIIHYAcBWAsgOTGBaCMAagDJwDKADGAMwgC6AvkA" TargetMode="External"/><Relationship Id="rId12" Type="http://schemas.openxmlformats.org/officeDocument/2006/relationships/hyperlink" Target="https://www.digikey.com/en/products/detail/vishay-dale/IHLP3232DZER2R2M5A/4070222" TargetMode="External"/><Relationship Id="rId17" Type="http://schemas.openxmlformats.org/officeDocument/2006/relationships/hyperlink" Target="https://www.digikey.com/en/products/detail/bourns-inc/CRF2512-FZ-R005ELF/6210986" TargetMode="External"/><Relationship Id="rId25" Type="http://schemas.openxmlformats.org/officeDocument/2006/relationships/hyperlink" Target="https://www.digikey.com/en/products/detail/yageo/RC0603FR-07200KL/727044" TargetMode="External"/><Relationship Id="rId2" Type="http://schemas.openxmlformats.org/officeDocument/2006/relationships/hyperlink" Target="https://www.digikey.com/en/products/detail/samsung-electro-mechanics/CL31B106KBHNNNE/5961251" TargetMode="External"/><Relationship Id="rId16" Type="http://schemas.openxmlformats.org/officeDocument/2006/relationships/hyperlink" Target="https://www.digikey.com/en/products/detail/vishay-dale/CRCW060349K9FKEA/1180003" TargetMode="External"/><Relationship Id="rId20" Type="http://schemas.openxmlformats.org/officeDocument/2006/relationships/hyperlink" Target="https://www.digikey.com/en/products/detail/stackpole-electronics-inc/RMCF0603FG100K/1713543" TargetMode="External"/><Relationship Id="rId29" Type="http://schemas.openxmlformats.org/officeDocument/2006/relationships/hyperlink" Target="https://www.digikey.com/en/products/detail/vishay-general-semiconductor-diodes-division/DZ23C15-E3-08/4831460" TargetMode="External"/><Relationship Id="rId1" Type="http://schemas.openxmlformats.org/officeDocument/2006/relationships/hyperlink" Target="https://www.digikey.com/en/products/detail/chemi-con/EMZR500ARA331MJA0G/5824768" TargetMode="External"/><Relationship Id="rId6" Type="http://schemas.openxmlformats.org/officeDocument/2006/relationships/hyperlink" Target="https://www.digikey.com/en/products/detail/samsung-electro-mechanics/CL32B226KAJNNNE/3889050" TargetMode="External"/><Relationship Id="rId11" Type="http://schemas.openxmlformats.org/officeDocument/2006/relationships/hyperlink" Target="https://www.digikey.com/en/products/detail/texas-instruments/LM25148RGYR/15857124" TargetMode="External"/><Relationship Id="rId24" Type="http://schemas.openxmlformats.org/officeDocument/2006/relationships/hyperlink" Target="https://www.digikey.com/en/products/detail/yageo/RC0805FR-073RL/727799" TargetMode="External"/><Relationship Id="rId5" Type="http://schemas.openxmlformats.org/officeDocument/2006/relationships/hyperlink" Target="https://www.digikey.com/en/products/detail/kyocera-avx/06033C104K4T2A/8019250" TargetMode="External"/><Relationship Id="rId15" Type="http://schemas.openxmlformats.org/officeDocument/2006/relationships/hyperlink" Target="https://www.digikey.com/en/products/detail/vishay-siliconix/SQJ459EP-T1-GE3/6708881" TargetMode="External"/><Relationship Id="rId23" Type="http://schemas.openxmlformats.org/officeDocument/2006/relationships/hyperlink" Target="https://www.digikey.com/en/products/detail/yageo/RC0603FR-0747KL/727253" TargetMode="External"/><Relationship Id="rId28" Type="http://schemas.openxmlformats.org/officeDocument/2006/relationships/hyperlink" Target="https://www.digikey.com/en/products/detail/littelfuse-inc/TPSMB33CA/4835275" TargetMode="External"/><Relationship Id="rId10" Type="http://schemas.openxmlformats.org/officeDocument/2006/relationships/hyperlink" Target="https://www.digikey.com/en/products/detail/yageo/CC0805KRX7R0BB102/2833637" TargetMode="External"/><Relationship Id="rId19" Type="http://schemas.openxmlformats.org/officeDocument/2006/relationships/hyperlink" Target="https://www.digikey.com/en/products/detail/panasonic-electronic-components/ERJ-2GE0R00X/146727" TargetMode="External"/><Relationship Id="rId4" Type="http://schemas.openxmlformats.org/officeDocument/2006/relationships/hyperlink" Target="https://www.digikey.com/en/products/detail/murata-electronics/GRM188C71C225KE11D/4905311" TargetMode="External"/><Relationship Id="rId9" Type="http://schemas.openxmlformats.org/officeDocument/2006/relationships/hyperlink" Target="https://www.digikey.com/en/products/detail/wago-corporation/2601-1102/17122694" TargetMode="External"/><Relationship Id="rId14" Type="http://schemas.openxmlformats.org/officeDocument/2006/relationships/hyperlink" Target="https://www.digikey.com/en/products/detail/infineon-technologies/IAUCN04S7L028ATMA1/22157720?s=N4IgTCBcDaIJIEECqBhAcgBgCwGUDsAMhmABwgC6AvkA" TargetMode="External"/><Relationship Id="rId22" Type="http://schemas.openxmlformats.org/officeDocument/2006/relationships/hyperlink" Target="https://www.digikey.com/en/products/detail/yageo/RT0603BRD0749K3L/5927964" TargetMode="External"/><Relationship Id="rId27" Type="http://schemas.openxmlformats.org/officeDocument/2006/relationships/hyperlink" Target="https://www.digikey.com/en/products/detail/onsemi/BAT54T1G/918319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8948-E7FA-4E8D-BCEE-74F84249CAD1}">
  <dimension ref="A1:M32"/>
  <sheetViews>
    <sheetView tabSelected="1" topLeftCell="E1" workbookViewId="0">
      <selection activeCell="H33" sqref="H33"/>
    </sheetView>
  </sheetViews>
  <sheetFormatPr defaultRowHeight="15" x14ac:dyDescent="0.25"/>
  <cols>
    <col min="1" max="1" width="31.5703125" bestFit="1" customWidth="1"/>
    <col min="2" max="2" width="22.7109375" bestFit="1" customWidth="1"/>
    <col min="3" max="3" width="49.5703125" bestFit="1" customWidth="1"/>
    <col min="4" max="4" width="113" bestFit="1" customWidth="1"/>
    <col min="5" max="5" width="19.7109375" customWidth="1"/>
    <col min="6" max="6" width="23" bestFit="1" customWidth="1"/>
    <col min="7" max="8" width="19.7109375" customWidth="1"/>
    <col min="9" max="9" width="26.140625" style="9" customWidth="1"/>
    <col min="11" max="11" width="28.5703125" bestFit="1" customWidth="1"/>
    <col min="12" max="12" width="148.42578125" bestFit="1" customWidth="1"/>
    <col min="13" max="13" width="116" bestFit="1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239</v>
      </c>
      <c r="J1" s="3" t="s">
        <v>240</v>
      </c>
      <c r="K1" s="5" t="s">
        <v>10</v>
      </c>
      <c r="L1" s="3" t="s">
        <v>8</v>
      </c>
      <c r="M1" s="3" t="s">
        <v>9</v>
      </c>
    </row>
    <row r="2" spans="1:13" s="17" customFormat="1" x14ac:dyDescent="0.25">
      <c r="A2" s="12" t="s">
        <v>11</v>
      </c>
      <c r="B2" s="13"/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3">
        <v>1</v>
      </c>
      <c r="I2" s="14">
        <v>200</v>
      </c>
      <c r="J2" s="13">
        <f>H2*I2</f>
        <v>200</v>
      </c>
      <c r="K2" s="15" t="s">
        <v>18</v>
      </c>
      <c r="L2" s="16" t="s">
        <v>17</v>
      </c>
      <c r="M2" s="13"/>
    </row>
    <row r="3" spans="1:13" x14ac:dyDescent="0.25">
      <c r="A3" s="2" t="s">
        <v>19</v>
      </c>
      <c r="B3" s="1"/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1">
        <v>10</v>
      </c>
      <c r="I3" s="8">
        <v>30</v>
      </c>
      <c r="J3" s="1">
        <f t="shared" ref="J3:J30" si="0">H3*I3</f>
        <v>300</v>
      </c>
      <c r="K3" s="6" t="s">
        <v>26</v>
      </c>
      <c r="L3" s="7" t="s">
        <v>25</v>
      </c>
      <c r="M3" s="1"/>
    </row>
    <row r="4" spans="1:13" x14ac:dyDescent="0.25">
      <c r="A4" s="2" t="s">
        <v>27</v>
      </c>
      <c r="B4" s="1"/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1">
        <v>8</v>
      </c>
      <c r="I4" s="8" t="s">
        <v>241</v>
      </c>
      <c r="J4" s="1">
        <f t="shared" si="0"/>
        <v>13.44</v>
      </c>
      <c r="K4" s="6" t="s">
        <v>34</v>
      </c>
      <c r="L4" s="7" t="s">
        <v>33</v>
      </c>
      <c r="M4" s="1"/>
    </row>
    <row r="5" spans="1:13" x14ac:dyDescent="0.25">
      <c r="A5" s="2" t="s">
        <v>35</v>
      </c>
      <c r="B5" s="1"/>
      <c r="C5" s="2" t="s">
        <v>36</v>
      </c>
      <c r="D5" s="2" t="s">
        <v>37</v>
      </c>
      <c r="E5" s="2" t="s">
        <v>38</v>
      </c>
      <c r="F5" s="2" t="s">
        <v>31</v>
      </c>
      <c r="G5" s="2" t="s">
        <v>39</v>
      </c>
      <c r="H5" s="1">
        <v>2</v>
      </c>
      <c r="I5" s="8" t="s">
        <v>242</v>
      </c>
      <c r="J5" s="1">
        <f t="shared" si="0"/>
        <v>46.96</v>
      </c>
      <c r="K5" s="6" t="s">
        <v>41</v>
      </c>
      <c r="L5" s="7" t="s">
        <v>40</v>
      </c>
      <c r="M5" s="1"/>
    </row>
    <row r="6" spans="1:13" x14ac:dyDescent="0.25">
      <c r="A6" s="2" t="s">
        <v>42</v>
      </c>
      <c r="B6" s="1"/>
      <c r="C6" s="2" t="s">
        <v>43</v>
      </c>
      <c r="D6" s="2" t="s">
        <v>44</v>
      </c>
      <c r="E6" s="2" t="s">
        <v>45</v>
      </c>
      <c r="F6" s="2" t="s">
        <v>31</v>
      </c>
      <c r="G6" s="2" t="s">
        <v>46</v>
      </c>
      <c r="H6" s="1">
        <v>4</v>
      </c>
      <c r="I6" s="8" t="s">
        <v>243</v>
      </c>
      <c r="J6" s="1">
        <f t="shared" si="0"/>
        <v>56.16</v>
      </c>
      <c r="K6" s="6" t="s">
        <v>48</v>
      </c>
      <c r="L6" s="7" t="s">
        <v>47</v>
      </c>
      <c r="M6" s="1"/>
    </row>
    <row r="7" spans="1:13" x14ac:dyDescent="0.25">
      <c r="A7" s="2" t="s">
        <v>49</v>
      </c>
      <c r="B7" s="1"/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1">
        <v>4</v>
      </c>
      <c r="I7" s="8">
        <v>70</v>
      </c>
      <c r="J7" s="1">
        <f t="shared" si="0"/>
        <v>280</v>
      </c>
      <c r="K7" s="6" t="s">
        <v>56</v>
      </c>
      <c r="L7" s="7" t="s">
        <v>55</v>
      </c>
      <c r="M7" s="1"/>
    </row>
    <row r="8" spans="1:13" x14ac:dyDescent="0.25">
      <c r="A8" s="2" t="s">
        <v>57</v>
      </c>
      <c r="B8" s="1"/>
      <c r="C8" s="2" t="s">
        <v>58</v>
      </c>
      <c r="D8" s="2" t="s">
        <v>59</v>
      </c>
      <c r="E8" s="2" t="s">
        <v>60</v>
      </c>
      <c r="F8" s="2" t="s">
        <v>15</v>
      </c>
      <c r="G8" s="2" t="s">
        <v>61</v>
      </c>
      <c r="H8" s="1">
        <v>2</v>
      </c>
      <c r="I8" s="8">
        <v>214</v>
      </c>
      <c r="J8" s="1">
        <f t="shared" si="0"/>
        <v>428</v>
      </c>
      <c r="K8" s="6" t="s">
        <v>63</v>
      </c>
      <c r="L8" s="7" t="s">
        <v>62</v>
      </c>
      <c r="M8" s="1"/>
    </row>
    <row r="9" spans="1:13" x14ac:dyDescent="0.25">
      <c r="A9" s="2" t="s">
        <v>64</v>
      </c>
      <c r="B9" s="1"/>
      <c r="C9" s="2" t="s">
        <v>65</v>
      </c>
      <c r="D9" s="2" t="s">
        <v>66</v>
      </c>
      <c r="E9" s="2" t="s">
        <v>67</v>
      </c>
      <c r="F9" s="2" t="s">
        <v>31</v>
      </c>
      <c r="G9" s="2" t="s">
        <v>68</v>
      </c>
      <c r="H9" s="1">
        <v>1</v>
      </c>
      <c r="I9" s="8" t="s">
        <v>244</v>
      </c>
      <c r="J9" s="1">
        <f t="shared" si="0"/>
        <v>31.23</v>
      </c>
      <c r="K9" s="6" t="s">
        <v>70</v>
      </c>
      <c r="L9" s="7" t="s">
        <v>69</v>
      </c>
      <c r="M9" s="1"/>
    </row>
    <row r="10" spans="1:13" s="17" customFormat="1" x14ac:dyDescent="0.25">
      <c r="A10" s="12" t="s">
        <v>71</v>
      </c>
      <c r="B10" s="13"/>
      <c r="C10" s="12" t="s">
        <v>72</v>
      </c>
      <c r="D10" s="12" t="s">
        <v>73</v>
      </c>
      <c r="E10" s="12" t="s">
        <v>74</v>
      </c>
      <c r="F10" s="12" t="s">
        <v>75</v>
      </c>
      <c r="G10" s="12" t="s">
        <v>76</v>
      </c>
      <c r="H10" s="13">
        <v>2</v>
      </c>
      <c r="I10" s="14">
        <v>500</v>
      </c>
      <c r="J10" s="13">
        <f t="shared" si="0"/>
        <v>1000</v>
      </c>
      <c r="K10" s="15" t="s">
        <v>78</v>
      </c>
      <c r="L10" s="16" t="s">
        <v>77</v>
      </c>
      <c r="M10" s="13"/>
    </row>
    <row r="11" spans="1:13" s="17" customFormat="1" x14ac:dyDescent="0.25">
      <c r="A11" s="12" t="s">
        <v>79</v>
      </c>
      <c r="B11" s="13"/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84</v>
      </c>
      <c r="H11" s="13">
        <v>1</v>
      </c>
      <c r="I11" s="14">
        <v>20</v>
      </c>
      <c r="J11" s="13">
        <f t="shared" si="0"/>
        <v>20</v>
      </c>
      <c r="K11" s="15" t="s">
        <v>86</v>
      </c>
      <c r="L11" s="16" t="s">
        <v>85</v>
      </c>
      <c r="M11" s="13"/>
    </row>
    <row r="12" spans="1:13" s="17" customFormat="1" x14ac:dyDescent="0.25">
      <c r="A12" s="12" t="s">
        <v>87</v>
      </c>
      <c r="B12" s="12" t="s">
        <v>88</v>
      </c>
      <c r="C12" s="12" t="s">
        <v>89</v>
      </c>
      <c r="D12" s="12" t="s">
        <v>90</v>
      </c>
      <c r="E12" s="12" t="s">
        <v>91</v>
      </c>
      <c r="F12" s="12" t="s">
        <v>92</v>
      </c>
      <c r="G12" s="12" t="s">
        <v>93</v>
      </c>
      <c r="H12" s="13">
        <v>1</v>
      </c>
      <c r="I12" s="14">
        <v>600</v>
      </c>
      <c r="J12" s="13">
        <f t="shared" si="0"/>
        <v>600</v>
      </c>
      <c r="K12" s="15" t="s">
        <v>93</v>
      </c>
      <c r="L12" s="16" t="s">
        <v>94</v>
      </c>
      <c r="M12" s="12" t="s">
        <v>95</v>
      </c>
    </row>
    <row r="13" spans="1:13" x14ac:dyDescent="0.25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1">
        <v>1</v>
      </c>
      <c r="I13" s="8" t="s">
        <v>245</v>
      </c>
      <c r="J13" s="1">
        <f t="shared" si="0"/>
        <v>254.58</v>
      </c>
      <c r="K13" s="6" t="s">
        <v>105</v>
      </c>
      <c r="L13" s="7" t="s">
        <v>103</v>
      </c>
      <c r="M13" s="2" t="s">
        <v>104</v>
      </c>
    </row>
    <row r="14" spans="1:13" s="17" customFormat="1" x14ac:dyDescent="0.25">
      <c r="A14" s="12" t="s">
        <v>106</v>
      </c>
      <c r="B14" s="12" t="s">
        <v>107</v>
      </c>
      <c r="C14" s="12" t="s">
        <v>108</v>
      </c>
      <c r="D14" s="12" t="s">
        <v>109</v>
      </c>
      <c r="E14" s="12" t="s">
        <v>110</v>
      </c>
      <c r="F14" s="12" t="s">
        <v>111</v>
      </c>
      <c r="G14" s="12" t="s">
        <v>112</v>
      </c>
      <c r="H14" s="13">
        <v>1</v>
      </c>
      <c r="I14" s="14">
        <v>400</v>
      </c>
      <c r="J14" s="13">
        <f t="shared" si="0"/>
        <v>400</v>
      </c>
      <c r="K14" s="15" t="s">
        <v>115</v>
      </c>
      <c r="L14" s="16" t="s">
        <v>113</v>
      </c>
      <c r="M14" s="12" t="s">
        <v>114</v>
      </c>
    </row>
    <row r="15" spans="1:13" s="17" customFormat="1" x14ac:dyDescent="0.25">
      <c r="A15" s="12" t="s">
        <v>116</v>
      </c>
      <c r="B15" s="12" t="s">
        <v>117</v>
      </c>
      <c r="C15" s="12" t="s">
        <v>118</v>
      </c>
      <c r="D15" s="12" t="s">
        <v>119</v>
      </c>
      <c r="E15" s="12" t="s">
        <v>120</v>
      </c>
      <c r="F15" s="12" t="s">
        <v>121</v>
      </c>
      <c r="G15" s="12" t="s">
        <v>122</v>
      </c>
      <c r="H15" s="13">
        <v>4</v>
      </c>
      <c r="I15" s="14">
        <v>150</v>
      </c>
      <c r="J15" s="13">
        <f t="shared" si="0"/>
        <v>600</v>
      </c>
      <c r="K15" s="15" t="s">
        <v>118</v>
      </c>
      <c r="L15" s="16" t="s">
        <v>123</v>
      </c>
      <c r="M15" s="12" t="s">
        <v>124</v>
      </c>
    </row>
    <row r="16" spans="1:13" x14ac:dyDescent="0.25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1">
        <v>1</v>
      </c>
      <c r="I16" s="8" t="s">
        <v>246</v>
      </c>
      <c r="J16" s="1">
        <f t="shared" si="0"/>
        <v>310.22000000000003</v>
      </c>
      <c r="K16" s="6" t="s">
        <v>134</v>
      </c>
      <c r="L16" s="7" t="s">
        <v>132</v>
      </c>
      <c r="M16" s="2" t="s">
        <v>133</v>
      </c>
    </row>
    <row r="17" spans="1:13" x14ac:dyDescent="0.25">
      <c r="A17" s="2" t="s">
        <v>135</v>
      </c>
      <c r="B17" s="1"/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  <c r="H17" s="1">
        <v>1</v>
      </c>
      <c r="I17" s="8" t="s">
        <v>247</v>
      </c>
      <c r="J17" s="1">
        <f t="shared" si="0"/>
        <v>2.1</v>
      </c>
      <c r="K17" s="6" t="s">
        <v>142</v>
      </c>
      <c r="L17" s="7" t="s">
        <v>141</v>
      </c>
      <c r="M17" s="1"/>
    </row>
    <row r="18" spans="1:13" s="17" customFormat="1" x14ac:dyDescent="0.25">
      <c r="A18" s="12" t="s">
        <v>143</v>
      </c>
      <c r="B18" s="13"/>
      <c r="C18" s="12" t="s">
        <v>144</v>
      </c>
      <c r="D18" s="12" t="s">
        <v>145</v>
      </c>
      <c r="E18" s="12" t="s">
        <v>146</v>
      </c>
      <c r="F18" s="12" t="s">
        <v>147</v>
      </c>
      <c r="G18" s="12" t="s">
        <v>148</v>
      </c>
      <c r="H18" s="13">
        <v>1</v>
      </c>
      <c r="I18" s="14">
        <v>150</v>
      </c>
      <c r="J18" s="13">
        <f t="shared" si="0"/>
        <v>150</v>
      </c>
      <c r="K18" s="15" t="s">
        <v>150</v>
      </c>
      <c r="L18" s="16" t="s">
        <v>149</v>
      </c>
      <c r="M18" s="13"/>
    </row>
    <row r="19" spans="1:13" x14ac:dyDescent="0.25">
      <c r="A19" s="2" t="s">
        <v>151</v>
      </c>
      <c r="B19" s="1"/>
      <c r="C19" s="2" t="s">
        <v>152</v>
      </c>
      <c r="D19" s="2" t="s">
        <v>153</v>
      </c>
      <c r="E19" s="2" t="s">
        <v>154</v>
      </c>
      <c r="F19" s="2" t="s">
        <v>139</v>
      </c>
      <c r="G19" s="2" t="s">
        <v>155</v>
      </c>
      <c r="H19" s="1">
        <v>1</v>
      </c>
      <c r="I19" s="8" t="s">
        <v>248</v>
      </c>
      <c r="J19" s="1">
        <f t="shared" si="0"/>
        <v>6.92</v>
      </c>
      <c r="K19" s="6" t="s">
        <v>157</v>
      </c>
      <c r="L19" s="7" t="s">
        <v>156</v>
      </c>
      <c r="M19" s="1"/>
    </row>
    <row r="20" spans="1:13" x14ac:dyDescent="0.25">
      <c r="A20" s="2" t="s">
        <v>158</v>
      </c>
      <c r="B20" s="1"/>
      <c r="C20" s="2" t="s">
        <v>159</v>
      </c>
      <c r="D20" s="2" t="s">
        <v>160</v>
      </c>
      <c r="E20" s="2" t="s">
        <v>161</v>
      </c>
      <c r="F20" s="2" t="s">
        <v>162</v>
      </c>
      <c r="G20" s="2" t="s">
        <v>163</v>
      </c>
      <c r="H20" s="1">
        <v>6</v>
      </c>
      <c r="I20" s="8" t="s">
        <v>247</v>
      </c>
      <c r="J20" s="1">
        <f t="shared" si="0"/>
        <v>12.600000000000001</v>
      </c>
      <c r="K20" s="6" t="s">
        <v>165</v>
      </c>
      <c r="L20" s="7" t="s">
        <v>164</v>
      </c>
      <c r="M20" s="1"/>
    </row>
    <row r="21" spans="1:13" x14ac:dyDescent="0.25">
      <c r="A21" s="2" t="s">
        <v>166</v>
      </c>
      <c r="B21" s="1"/>
      <c r="C21" s="2" t="s">
        <v>167</v>
      </c>
      <c r="D21" s="2" t="s">
        <v>168</v>
      </c>
      <c r="E21" s="2" t="s">
        <v>169</v>
      </c>
      <c r="F21" s="2" t="s">
        <v>139</v>
      </c>
      <c r="G21" s="2" t="s">
        <v>170</v>
      </c>
      <c r="H21" s="1">
        <v>1</v>
      </c>
      <c r="I21" s="8" t="s">
        <v>249</v>
      </c>
      <c r="J21" s="1">
        <f t="shared" si="0"/>
        <v>3.98</v>
      </c>
      <c r="K21" s="6" t="s">
        <v>172</v>
      </c>
      <c r="L21" s="7" t="s">
        <v>171</v>
      </c>
      <c r="M21" s="1"/>
    </row>
    <row r="22" spans="1:13" x14ac:dyDescent="0.25">
      <c r="A22" s="2" t="s">
        <v>173</v>
      </c>
      <c r="B22" s="1"/>
      <c r="C22" s="2" t="s">
        <v>174</v>
      </c>
      <c r="D22" s="2" t="s">
        <v>175</v>
      </c>
      <c r="E22" s="2" t="s">
        <v>176</v>
      </c>
      <c r="F22" s="2" t="s">
        <v>139</v>
      </c>
      <c r="G22" s="2" t="s">
        <v>177</v>
      </c>
      <c r="H22" s="1">
        <v>1</v>
      </c>
      <c r="I22" s="8" t="s">
        <v>248</v>
      </c>
      <c r="J22" s="1">
        <f t="shared" si="0"/>
        <v>6.92</v>
      </c>
      <c r="K22" s="6" t="s">
        <v>179</v>
      </c>
      <c r="L22" s="7" t="s">
        <v>178</v>
      </c>
      <c r="M22" s="1"/>
    </row>
    <row r="23" spans="1:13" x14ac:dyDescent="0.25">
      <c r="A23" s="2" t="s">
        <v>180</v>
      </c>
      <c r="B23" s="1"/>
      <c r="C23" s="2" t="s">
        <v>181</v>
      </c>
      <c r="D23" s="2" t="s">
        <v>182</v>
      </c>
      <c r="E23" s="2" t="s">
        <v>183</v>
      </c>
      <c r="F23" s="2" t="s">
        <v>139</v>
      </c>
      <c r="G23" s="2" t="s">
        <v>184</v>
      </c>
      <c r="H23" s="1">
        <v>1</v>
      </c>
      <c r="I23" s="8" t="s">
        <v>250</v>
      </c>
      <c r="J23" s="1">
        <f t="shared" si="0"/>
        <v>21.59</v>
      </c>
      <c r="K23" s="6" t="s">
        <v>186</v>
      </c>
      <c r="L23" s="7" t="s">
        <v>185</v>
      </c>
      <c r="M23" s="1"/>
    </row>
    <row r="24" spans="1:13" x14ac:dyDescent="0.25">
      <c r="A24" s="2" t="s">
        <v>187</v>
      </c>
      <c r="B24" s="1"/>
      <c r="C24" s="2" t="s">
        <v>188</v>
      </c>
      <c r="D24" s="2" t="s">
        <v>189</v>
      </c>
      <c r="E24" s="2" t="s">
        <v>190</v>
      </c>
      <c r="F24" s="2" t="s">
        <v>139</v>
      </c>
      <c r="G24" s="2" t="s">
        <v>191</v>
      </c>
      <c r="H24" s="1">
        <v>1</v>
      </c>
      <c r="I24" s="8" t="s">
        <v>251</v>
      </c>
      <c r="J24" s="1">
        <f t="shared" si="0"/>
        <v>1.47</v>
      </c>
      <c r="K24" s="6" t="s">
        <v>193</v>
      </c>
      <c r="L24" s="7" t="s">
        <v>192</v>
      </c>
      <c r="M24" s="1"/>
    </row>
    <row r="25" spans="1:13" s="17" customFormat="1" x14ac:dyDescent="0.25">
      <c r="A25" s="12" t="s">
        <v>194</v>
      </c>
      <c r="B25" s="13"/>
      <c r="C25" s="12" t="s">
        <v>195</v>
      </c>
      <c r="D25" s="12" t="s">
        <v>196</v>
      </c>
      <c r="E25" s="12" t="s">
        <v>197</v>
      </c>
      <c r="F25" s="12" t="s">
        <v>198</v>
      </c>
      <c r="G25" s="12" t="s">
        <v>199</v>
      </c>
      <c r="H25" s="13">
        <v>1</v>
      </c>
      <c r="I25" s="14">
        <v>7</v>
      </c>
      <c r="J25" s="13">
        <f t="shared" si="0"/>
        <v>7</v>
      </c>
      <c r="K25" s="15" t="s">
        <v>201</v>
      </c>
      <c r="L25" s="16" t="s">
        <v>200</v>
      </c>
      <c r="M25" s="13"/>
    </row>
    <row r="26" spans="1:13" s="17" customFormat="1" x14ac:dyDescent="0.25">
      <c r="A26" s="12" t="s">
        <v>202</v>
      </c>
      <c r="B26" s="13"/>
      <c r="C26" s="12" t="s">
        <v>203</v>
      </c>
      <c r="D26" s="12" t="s">
        <v>204</v>
      </c>
      <c r="E26" s="12" t="s">
        <v>205</v>
      </c>
      <c r="F26" s="12" t="s">
        <v>139</v>
      </c>
      <c r="G26" s="12" t="s">
        <v>206</v>
      </c>
      <c r="H26" s="13">
        <v>1</v>
      </c>
      <c r="I26" s="14">
        <v>7</v>
      </c>
      <c r="J26" s="13">
        <f t="shared" si="0"/>
        <v>7</v>
      </c>
      <c r="K26" s="15" t="s">
        <v>208</v>
      </c>
      <c r="L26" s="16" t="s">
        <v>207</v>
      </c>
      <c r="M26" s="13"/>
    </row>
    <row r="27" spans="1:13" s="17" customFormat="1" x14ac:dyDescent="0.25">
      <c r="A27" s="12" t="s">
        <v>209</v>
      </c>
      <c r="B27" s="13"/>
      <c r="C27" s="12" t="s">
        <v>210</v>
      </c>
      <c r="D27" s="12" t="s">
        <v>211</v>
      </c>
      <c r="E27" s="12" t="s">
        <v>212</v>
      </c>
      <c r="F27" s="12" t="s">
        <v>139</v>
      </c>
      <c r="G27" s="12" t="s">
        <v>213</v>
      </c>
      <c r="H27" s="13">
        <v>1</v>
      </c>
      <c r="I27" s="14">
        <v>7</v>
      </c>
      <c r="J27" s="13">
        <f t="shared" si="0"/>
        <v>7</v>
      </c>
      <c r="K27" s="15" t="s">
        <v>215</v>
      </c>
      <c r="L27" s="16" t="s">
        <v>214</v>
      </c>
      <c r="M27" s="13"/>
    </row>
    <row r="28" spans="1:13" s="17" customFormat="1" x14ac:dyDescent="0.25">
      <c r="A28" s="12" t="s">
        <v>216</v>
      </c>
      <c r="B28" s="13"/>
      <c r="C28" s="12" t="s">
        <v>217</v>
      </c>
      <c r="D28" s="12" t="s">
        <v>218</v>
      </c>
      <c r="E28" s="12" t="s">
        <v>219</v>
      </c>
      <c r="F28" s="12" t="s">
        <v>220</v>
      </c>
      <c r="G28" s="12" t="s">
        <v>221</v>
      </c>
      <c r="H28" s="13">
        <v>1</v>
      </c>
      <c r="I28" s="14">
        <v>30</v>
      </c>
      <c r="J28" s="13">
        <f t="shared" si="0"/>
        <v>30</v>
      </c>
      <c r="K28" s="15" t="s">
        <v>223</v>
      </c>
      <c r="L28" s="16" t="s">
        <v>222</v>
      </c>
      <c r="M28" s="13"/>
    </row>
    <row r="29" spans="1:13" s="17" customFormat="1" x14ac:dyDescent="0.25">
      <c r="A29" s="12" t="s">
        <v>224</v>
      </c>
      <c r="B29" s="13"/>
      <c r="C29" s="12" t="s">
        <v>225</v>
      </c>
      <c r="D29" s="12" t="s">
        <v>226</v>
      </c>
      <c r="E29" s="12" t="s">
        <v>227</v>
      </c>
      <c r="F29" s="12" t="s">
        <v>228</v>
      </c>
      <c r="G29" s="12" t="s">
        <v>229</v>
      </c>
      <c r="H29" s="13">
        <v>1</v>
      </c>
      <c r="I29" s="14">
        <v>70</v>
      </c>
      <c r="J29" s="13">
        <f t="shared" si="0"/>
        <v>70</v>
      </c>
      <c r="K29" s="15" t="s">
        <v>225</v>
      </c>
      <c r="L29" s="16" t="s">
        <v>230</v>
      </c>
      <c r="M29" s="13"/>
    </row>
    <row r="30" spans="1:13" x14ac:dyDescent="0.25">
      <c r="A30" s="2" t="s">
        <v>231</v>
      </c>
      <c r="B30" s="1"/>
      <c r="C30" s="2" t="s">
        <v>232</v>
      </c>
      <c r="D30" s="2" t="s">
        <v>233</v>
      </c>
      <c r="E30" s="2" t="s">
        <v>234</v>
      </c>
      <c r="F30" s="2" t="s">
        <v>235</v>
      </c>
      <c r="G30" s="2" t="s">
        <v>236</v>
      </c>
      <c r="H30" s="1">
        <v>1</v>
      </c>
      <c r="I30" s="8" t="s">
        <v>242</v>
      </c>
      <c r="J30" s="1">
        <f t="shared" si="0"/>
        <v>23.48</v>
      </c>
      <c r="K30" s="6" t="s">
        <v>238</v>
      </c>
      <c r="L30" s="7" t="s">
        <v>237</v>
      </c>
      <c r="M30" s="1"/>
    </row>
    <row r="31" spans="1:13" x14ac:dyDescent="0.25">
      <c r="I31" s="9" t="s">
        <v>252</v>
      </c>
      <c r="J31" s="11">
        <f>SUM(J2:J30)</f>
        <v>4890.6500000000005</v>
      </c>
    </row>
    <row r="32" spans="1:13" ht="30" x14ac:dyDescent="0.25">
      <c r="H32">
        <f>SUM(H2:H30)</f>
        <v>62</v>
      </c>
      <c r="I32" s="18" t="s">
        <v>253</v>
      </c>
    </row>
  </sheetData>
  <hyperlinks>
    <hyperlink ref="L2" r:id="rId1" xr:uid="{725F1FAF-02A0-4799-8E6C-56680F2D35DC}"/>
    <hyperlink ref="L3" r:id="rId2" xr:uid="{5AACB283-E963-4BF8-86FF-41A857B355EC}"/>
    <hyperlink ref="L4" r:id="rId3" xr:uid="{5542D317-6D5D-43C2-9ACF-643B8269A348}"/>
    <hyperlink ref="L5" r:id="rId4" xr:uid="{AC2D71BF-14C6-4784-BD71-B31686BF5EEC}"/>
    <hyperlink ref="L6" r:id="rId5" xr:uid="{D55F25D8-6F30-42F8-883F-81C966F1A5AD}"/>
    <hyperlink ref="L7" r:id="rId6" xr:uid="{551126CA-CE0F-411C-A034-7DD21B87938C}"/>
    <hyperlink ref="L8" r:id="rId7" xr:uid="{D94B6593-75BF-47CD-9EB0-65F762FA5254}"/>
    <hyperlink ref="L9" r:id="rId8" xr:uid="{F69BFBEC-3277-4F0B-961D-BFD470C213A5}"/>
    <hyperlink ref="L10" r:id="rId9" xr:uid="{C1FC2FCA-A48B-4ABB-A6B8-E1043AD3F2D5}"/>
    <hyperlink ref="L11" r:id="rId10" xr:uid="{AC04DC3B-2333-4265-88E8-C52FCA6D5549}"/>
    <hyperlink ref="L12" r:id="rId11" xr:uid="{586152A6-AD80-4E78-A9CB-4E0063D8748E}"/>
    <hyperlink ref="L13" r:id="rId12" xr:uid="{81AB21FC-364F-4057-9E47-7B22F81A2F5B}"/>
    <hyperlink ref="L14" r:id="rId13" xr:uid="{789844EE-3451-43EF-BD29-4E8558236082}"/>
    <hyperlink ref="L15" r:id="rId14" xr:uid="{FF8B7F5F-7ACF-4CAB-840A-B2765019F868}"/>
    <hyperlink ref="L16" r:id="rId15" xr:uid="{C763EFD8-4550-4243-8BE4-FAF01BA6763D}"/>
    <hyperlink ref="L17" r:id="rId16" xr:uid="{0669397B-0111-497E-ADBA-7D6504A0359F}"/>
    <hyperlink ref="L18" r:id="rId17" xr:uid="{3EB5C4F3-EAC3-4146-84CE-1A70EACA324C}"/>
    <hyperlink ref="L19" r:id="rId18" xr:uid="{1263B4E4-96B6-423B-BBC9-2590240C8D0A}"/>
    <hyperlink ref="L20" r:id="rId19" xr:uid="{685D1A41-AE40-4411-B4F7-F367D82F54CC}"/>
    <hyperlink ref="L21" r:id="rId20" xr:uid="{35B0916F-7C92-428B-8865-C6AC819761A0}"/>
    <hyperlink ref="L22" r:id="rId21" xr:uid="{E56AFA1A-2229-48D0-8379-5FF50F9EF03D}"/>
    <hyperlink ref="L23" r:id="rId22" xr:uid="{30CB8CFE-587E-44DA-8F4D-99B7470C9089}"/>
    <hyperlink ref="L24" r:id="rId23" xr:uid="{8983F84C-626B-4758-BAD0-12E3F9E4A402}"/>
    <hyperlink ref="L25" r:id="rId24" xr:uid="{2F3CC461-B171-4E9A-8C79-BE6644527FFE}"/>
    <hyperlink ref="L26" r:id="rId25" xr:uid="{A3779AFB-00FB-4A22-BFC7-D3C233274DEF}"/>
    <hyperlink ref="L27" r:id="rId26" xr:uid="{DF74319E-EE3F-4CCE-83AA-0DFB74DFFD93}"/>
    <hyperlink ref="L28" r:id="rId27" xr:uid="{53648C5F-DA1F-4E38-9A75-34D4D2557DB2}"/>
    <hyperlink ref="L29" r:id="rId28" xr:uid="{D2F450B8-FCD9-44C0-A356-26D65F1A3DB0}"/>
    <hyperlink ref="L30" r:id="rId29" xr:uid="{1DFA729F-30B6-4D8E-AB30-92B3145FA883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LM25148_prot_V2_BOM</vt:lpstr>
      <vt:lpstr>LM25148_prot_V2_BOM!Print_Titles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Aleksic</dc:creator>
  <cp:lastModifiedBy>Aleksandar Aleksic</cp:lastModifiedBy>
  <dcterms:created xsi:type="dcterms:W3CDTF">2025-10-29T16:04:55Z</dcterms:created>
  <dcterms:modified xsi:type="dcterms:W3CDTF">2025-11-29T23:19:57Z</dcterms:modified>
</cp:coreProperties>
</file>