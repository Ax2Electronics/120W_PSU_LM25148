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KTI\120W_DC_SUPPLY\120W_PSU_LM25148\LM25148\Project Outputs for LM25148\"/>
    </mc:Choice>
  </mc:AlternateContent>
  <xr:revisionPtr revIDLastSave="0" documentId="13_ncr:1_{76CC7144-DC9A-4EDD-A26D-74585F59BB94}" xr6:coauthVersionLast="47" xr6:coauthVersionMax="47" xr10:uidLastSave="{00000000-0000-0000-0000-000000000000}"/>
  <bookViews>
    <workbookView xWindow="-120" yWindow="-120" windowWidth="29040" windowHeight="15720" xr2:uid="{112B81C0-5D59-4047-BB39-642FB042079C}"/>
  </bookViews>
  <sheets>
    <sheet name="LM25148_comercial_BOM" sheetId="1" r:id="rId1"/>
  </sheets>
  <definedNames>
    <definedName name="_xlnm.Print_Titles" localSheetId="0">LM25148_comercial_BOM!$1:$1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3" i="1" l="1"/>
  <c r="O3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2" i="1"/>
</calcChain>
</file>

<file path=xl/sharedStrings.xml><?xml version="1.0" encoding="utf-8"?>
<sst xmlns="http://schemas.openxmlformats.org/spreadsheetml/2006/main" count="215" uniqueCount="204">
  <si>
    <t>Comment</t>
  </si>
  <si>
    <t>Description</t>
  </si>
  <si>
    <t>Designator</t>
  </si>
  <si>
    <t>Footprint</t>
  </si>
  <si>
    <t>LibRef</t>
  </si>
  <si>
    <t>Quantity</t>
  </si>
  <si>
    <t>ComponentLink1URL</t>
  </si>
  <si>
    <t>ComponentLink2URL</t>
  </si>
  <si>
    <t>MOUSER Part Number</t>
  </si>
  <si>
    <t>Digikey Part Number</t>
  </si>
  <si>
    <t>220uF</t>
  </si>
  <si>
    <t>220 µF 35 V Aluminum - Polymer Capacitors Radial, Can - SMD 23mOhm 1000 Hrs @ 150°C</t>
  </si>
  <si>
    <t>C1</t>
  </si>
  <si>
    <t>CAPAE109103X103M</t>
  </si>
  <si>
    <t>C000033</t>
  </si>
  <si>
    <t>https://www.digikey.com/en/products/detail/kemet/A785MN227M1VLAS023/22003773?s=N4IgTCBcDaIIIHYAcBWAsgOTGBaCMAagDJwDKADGAMwgC6AvkA</t>
  </si>
  <si>
    <t>399-A785MN227M1VLAS023CT-ND</t>
  </si>
  <si>
    <t>10uF</t>
  </si>
  <si>
    <t>10 µF ±10% 50V Ceramic Capacitor X7R 1206 (3216 Metric)</t>
  </si>
  <si>
    <t>C2, C3, C4, C5, C9, C14, C16, C34, C35, C36</t>
  </si>
  <si>
    <t>CAP_1206</t>
  </si>
  <si>
    <t>C000017</t>
  </si>
  <si>
    <t>https://www.digikey.com/en/products/detail/samsung-electro-mechanics/CL31B106KBHNNNE/5961251</t>
  </si>
  <si>
    <t>1276-6767-1-ND</t>
  </si>
  <si>
    <t>0.1uF</t>
  </si>
  <si>
    <t>0.1 µF ±10% 50V Ceramic Capacitor X7R 0603 (1608 Metric)</t>
  </si>
  <si>
    <t>C6, C7, C8, C11, C12, C13, C15</t>
  </si>
  <si>
    <t>CAP_0603</t>
  </si>
  <si>
    <t>C000018</t>
  </si>
  <si>
    <t>https://www.digikey.com/en/products/detail/samsung-electro-mechanics/CL10B104KB8NNNC/3886658</t>
  </si>
  <si>
    <t>1276-1000-1-ND</t>
  </si>
  <si>
    <t>2.2uF</t>
  </si>
  <si>
    <t>8 pF ±0.05pF 25V Ceramic Capacitor C0G, NP0 01005 (0402 Metric)</t>
  </si>
  <si>
    <t>C10, C33</t>
  </si>
  <si>
    <t>C000014</t>
  </si>
  <si>
    <t>https://www.digikey.com/en/products/detail/murata-electronics/GRM188C71C225KE11D/4905311</t>
  </si>
  <si>
    <t>490-12731-1-ND</t>
  </si>
  <si>
    <t>100nf</t>
  </si>
  <si>
    <t>0.1 µF ±10% 25V Ceramic Capacitor X7R 0603 (1608 Metric)</t>
  </si>
  <si>
    <t>C17, C18, C29, C32</t>
  </si>
  <si>
    <t>C000007</t>
  </si>
  <si>
    <t>https://www.digikey.com/en/products/detail/kyocera-avx/06033C104K4T2A/8019250</t>
  </si>
  <si>
    <t>478-KAM15AR71E104KTCT-ND</t>
  </si>
  <si>
    <t>22uF</t>
  </si>
  <si>
    <t>22 µF ±10% 25V Ceramic Capacitor X7R 1210 (3225 Metric)</t>
  </si>
  <si>
    <t>C19, C20, C21, C22, C23, C24, C25, C26, C27, C28</t>
  </si>
  <si>
    <t>CAP_1210</t>
  </si>
  <si>
    <t>C000032</t>
  </si>
  <si>
    <t>https://www.digikey.com/en/products/detail/samsung-electro-mechanics/CL32B226KAJNNNE/3889050</t>
  </si>
  <si>
    <t>1276-3392-1-ND</t>
  </si>
  <si>
    <t>1.8nF</t>
  </si>
  <si>
    <t>1800 pF ±10% 25V Ceramic Capacitor X7R 0603 (1608 Metric)</t>
  </si>
  <si>
    <t>C30</t>
  </si>
  <si>
    <t>C000027</t>
  </si>
  <si>
    <t>https://www.digikey.com/en/products/detail/kemet/C0603C182K3RAC7867/2200107</t>
  </si>
  <si>
    <t>399-15370-1-ND</t>
  </si>
  <si>
    <t>TERM BLK PCB LEVER 3.5MM 2POS</t>
  </si>
  <si>
    <t>2 Position Wire to Board Terminal Block Horizontal with Board 0.138" (3.50mm) Through Hole</t>
  </si>
  <si>
    <t>CN1, CN2</t>
  </si>
  <si>
    <t>CONN2_2601-1102_WAG</t>
  </si>
  <si>
    <t>00000017</t>
  </si>
  <si>
    <t>https://www.digikey.com/en/products/detail/wago-corporation/2601-1102/17122694</t>
  </si>
  <si>
    <t>2946-2601-1102-ND</t>
  </si>
  <si>
    <t>LM25148RGYR 42-V SYNCHRONOUS BUCK DC/DC CONT</t>
  </si>
  <si>
    <t>Buck Regulator Positive Output Step-Down DC-DC Controller IC 24-VQFN (5.5x3.5)</t>
  </si>
  <si>
    <t>IC1</t>
  </si>
  <si>
    <t>VQFN25_RGY_TEX</t>
  </si>
  <si>
    <t>LM25148RGYR</t>
  </si>
  <si>
    <t>https://www.digikey.com/en/products/detail/texas-instruments/LM25148RGYR/15857124</t>
  </si>
  <si>
    <t>https://eu.mouser.com/ProductDetail/Texas-Instruments/LM25148RGYR?qs=doiCPypUmgEViljGB5jAZw%3D%3D</t>
  </si>
  <si>
    <t>595-LM25148RGYR</t>
  </si>
  <si>
    <t>296-LM25148RGYRCT-ND</t>
  </si>
  <si>
    <t>2.2uH</t>
  </si>
  <si>
    <t>FIXED IND 2.2UH 11.5A 12.5 MOHM</t>
  </si>
  <si>
    <t>L1</t>
  </si>
  <si>
    <t>IHLP-3232DZ-51</t>
  </si>
  <si>
    <t>L000015</t>
  </si>
  <si>
    <t>https://www.digikey.com/en/products/detail/vishay-dale/IHLP3232DZER2R2M5A/4070222</t>
  </si>
  <si>
    <t>https://eu.mouser.com/ProductDetail/Vishay-Dale/IHLP3232DZER2R2M5A?qs=tDDpbAIEejr3%252BeiaEh99%252Bg%3D%3D</t>
  </si>
  <si>
    <t>70-IHLP3232DZR2R2M5A</t>
  </si>
  <si>
    <t>541-IHLP3232DZER2R2M5ACT-ND</t>
  </si>
  <si>
    <t>10uH</t>
  </si>
  <si>
    <t>FIXED IND 10UH 11A 15.8 MOHM SMD</t>
  </si>
  <si>
    <t>L2</t>
  </si>
  <si>
    <t>INDP135126X65N</t>
  </si>
  <si>
    <t>L000016</t>
  </si>
  <si>
    <t>https://www.digikey.com/en/products/detail/pulse-electronics/PA4343-103ANLT/7943151?s=N4IgTCBcDaIAoEEAsBmVA6AjABhQgcgDIAqIAugL5A</t>
  </si>
  <si>
    <t>https://eu.mouser.com/ProductDetail/Pulse-Electronics/PA4343.103ANLT?qs=chTDxNqvsym%252BWuIQdh7qfw%3D%3D</t>
  </si>
  <si>
    <t>673-PA4343.103ANLT</t>
  </si>
  <si>
    <t>553-4029-1-ND</t>
  </si>
  <si>
    <t>Mounting Hole</t>
  </si>
  <si>
    <t>Mounting Hole 3mm</t>
  </si>
  <si>
    <t>MH1, MH2, MH3, MH4</t>
  </si>
  <si>
    <t>HOLE-3mm</t>
  </si>
  <si>
    <t>00000006</t>
  </si>
  <si>
    <t>IAUC80N04S6L032ATMA1</t>
  </si>
  <si>
    <t>N-Channel 40 V 80A (Tc) 50W (Tc) Surface Mount PG-TDSON-8</t>
  </si>
  <si>
    <t>Q1, Q2</t>
  </si>
  <si>
    <t>PG-TDSON-8-33</t>
  </si>
  <si>
    <t>00000008</t>
  </si>
  <si>
    <t>https://www.digikey.com/en/products/detail/infineon-technologies/IAUC80N04S6L032ATMA1/13677609</t>
  </si>
  <si>
    <t>https://eu.mouser.com/ProductDetail/Infineon-Technologies/IAUC80N04S6L032ATMA1?qs=BJlw7L4Cy7%2F3D%2F1wP9Fszw%3D%3D</t>
  </si>
  <si>
    <t>726-IAUC80N04S6L032A</t>
  </si>
  <si>
    <t>448-IAUC80N04S6L032ATMA1CT-ND</t>
  </si>
  <si>
    <t>SQJ659EP PMOS</t>
  </si>
  <si>
    <t>P-Channel 60 V 52A (Tc) 83W (Tc) Surface Mount PowerPAK® SO-8</t>
  </si>
  <si>
    <t>Q_RP</t>
  </si>
  <si>
    <t>PowerPAK SO-8L SINGLE</t>
  </si>
  <si>
    <t>00000005</t>
  </si>
  <si>
    <t>https://www.digikey.com/en/products/detail/vishay-siliconix/SQJ459EP-T1-GE3/6708881</t>
  </si>
  <si>
    <t>https://eu.mouser.com/ProductDetail/Vishay-Siliconix/SQJ459EP-T2_BE3?qs=CiayqK2gdcKpg8h0vLRPjA%3D%3D</t>
  </si>
  <si>
    <t>78-SQJ459EP-T2_BE3</t>
  </si>
  <si>
    <t>SQJ459EP-T1_GE3CT-ND</t>
  </si>
  <si>
    <t>49.9kOhm</t>
  </si>
  <si>
    <t>49.9 kOhms ±1% 0.1W, 1/10W Chip Resistor 0603 (1608 Metric) Moisture Resistant Thick Film</t>
  </si>
  <si>
    <t>R2</t>
  </si>
  <si>
    <t>RES_0603</t>
  </si>
  <si>
    <t>R000025</t>
  </si>
  <si>
    <t>https://www.digikey.com/en/products/detail/yageo/RC0603FR-0749K9L/727265</t>
  </si>
  <si>
    <t>311-49.9KHRCT-ND</t>
  </si>
  <si>
    <t>5mOhm</t>
  </si>
  <si>
    <t>5 mOhms ±1% 2W Chip Resistor Wide 2010 (5025 Metric), 1020 Anti-Sulfur, Automotive AEC-Q200, Current Sense, Moisture Resistant, Pulse Withstanding Metal Element</t>
  </si>
  <si>
    <t>R4</t>
  </si>
  <si>
    <t>RES_1020_WIDE</t>
  </si>
  <si>
    <t>R000026</t>
  </si>
  <si>
    <t>https://www.digikey.com/en/products/detail/vishay-dale/WSL10205L000FEA/9758314</t>
  </si>
  <si>
    <t>541-10046-1-ND</t>
  </si>
  <si>
    <t>24.9kOhm</t>
  </si>
  <si>
    <t>24.9 kOhms ±1% 0.1W, 1/10W Chip Resistor 0603 (1608 Metric) Automotive AEC-Q200 Thick Film</t>
  </si>
  <si>
    <t>R6</t>
  </si>
  <si>
    <t>R000017</t>
  </si>
  <si>
    <t>https://www.digikey.com/en/products/detail/panasonic-electronic-components/ERJ-3EKF2492V/196236</t>
  </si>
  <si>
    <t>P24.9KHCT-ND</t>
  </si>
  <si>
    <t>0 Ohm Jump</t>
  </si>
  <si>
    <t>0 Ohms Jumper Chip Resistor 0402 (1005 Metric) Automotive AEC-Q200 Thick Film</t>
  </si>
  <si>
    <t>R8, R10</t>
  </si>
  <si>
    <t>RES_0402</t>
  </si>
  <si>
    <t>R000008</t>
  </si>
  <si>
    <t>https://www.digikey.com/en/products/detail/panasonic-electronic-components/ERJ-2GE0R00X/146727</t>
  </si>
  <si>
    <t>P0.0JCT-ND</t>
  </si>
  <si>
    <t>100Kohm</t>
  </si>
  <si>
    <t>100 kOhms ±1% 0.1W, 1/10W Chip Resistor 0603 (1608 Metric) Automotive AEC-Q200 Thick Film</t>
  </si>
  <si>
    <t>R9</t>
  </si>
  <si>
    <t>R000006</t>
  </si>
  <si>
    <t>https://www.digikey.com/en/products/detail/stackpole-electronics-inc/RMCF0603FG100K/1713543</t>
  </si>
  <si>
    <t>RMCF0603FG100KCT-ND</t>
  </si>
  <si>
    <t>41.2kOhm</t>
  </si>
  <si>
    <t>41.2 kOhms ±1% 0.1W, 1/10W Chip Resistor 0603 (1608 Metric) Automotive AEC-Q200 Thick Film</t>
  </si>
  <si>
    <t>R11</t>
  </si>
  <si>
    <t>R000015</t>
  </si>
  <si>
    <t>https://www.digikey.com/en/products/detail/panasonic-electronic-components/ERJ-3EKF4122V/196347</t>
  </si>
  <si>
    <t>P41.2KHCT-ND</t>
  </si>
  <si>
    <t>49.3kOhm</t>
  </si>
  <si>
    <t>49.3 kOhms ±0.1% 0.1W, 1/10W Chip Resistor 0603 (1608 Metric) Thin Film</t>
  </si>
  <si>
    <t>R12</t>
  </si>
  <si>
    <t>R000023</t>
  </si>
  <si>
    <t>https://www.digikey.com/en/products/detail/yageo/RT0603BRD0749K3L/5927964</t>
  </si>
  <si>
    <t>13-RT0603BRD0749K3LCT-ND</t>
  </si>
  <si>
    <t>0.2Ohm</t>
  </si>
  <si>
    <t>200 mOhms ±1% 0.5W, 1/2W Chip Resistor 1206 (3216 Metric) Current Sense Thick Film</t>
  </si>
  <si>
    <t>R15</t>
  </si>
  <si>
    <t>RES_1206</t>
  </si>
  <si>
    <t>R000024</t>
  </si>
  <si>
    <t>https://www.digikey.com/en/products/detail/stackpole-electronics-inc/CSR1206FKR200/1742391?s=N4IgTCBcDaIMIGUBKBGMAGAbAMQNJI3RAF0BfIA</t>
  </si>
  <si>
    <t>CSR1206FKR200CT-ND</t>
  </si>
  <si>
    <t>47kOhm</t>
  </si>
  <si>
    <t>47 kOhms ±1% 0.1W, 1/10W Chip Resistor 0603 (1608 Metric) Moisture Resistant Thick Film</t>
  </si>
  <si>
    <t>R_RP</t>
  </si>
  <si>
    <t>R000010</t>
  </si>
  <si>
    <t>https://www.digikey.com/en/products/detail/yageo/RC0603FR-0747KL/727253</t>
  </si>
  <si>
    <t>311-47.0KHRCT-ND</t>
  </si>
  <si>
    <t>200kOhm</t>
  </si>
  <si>
    <t>200 kOhms ±1% 0.1W, 1/10W Chip Resistor 0603 (1608 Metric) Moisture Resistant Thick Film</t>
  </si>
  <si>
    <t>RUV1</t>
  </si>
  <si>
    <t>R000031</t>
  </si>
  <si>
    <t>https://www.digikey.com/en/products/detail/yageo/RC0603FR-07200KL/727044</t>
  </si>
  <si>
    <t>311-200KHRCT-ND</t>
  </si>
  <si>
    <t>14.3kOhm</t>
  </si>
  <si>
    <t>14.3 kOhms ±1% 0.1W, 1/10W Chip Resistor 0603 (1608 Metric) Automotive AEC-Q200 Thick Film</t>
  </si>
  <si>
    <t>RUV2</t>
  </si>
  <si>
    <t>R000032</t>
  </si>
  <si>
    <t>https://www.digikey.com/en/products/detail/stackpole-electronics-inc/RMCF0603FT14K3/1761296</t>
  </si>
  <si>
    <t>RMCF0603FT14K3CT-ND</t>
  </si>
  <si>
    <t>BAT54T1G Schottky</t>
  </si>
  <si>
    <t>Diode 30 V 200mA Surface Mount SOD-123</t>
  </si>
  <si>
    <t>SD1</t>
  </si>
  <si>
    <t>SODFL371X135-2N</t>
  </si>
  <si>
    <t>00000009</t>
  </si>
  <si>
    <t>https://www.digikey.com/en/products/detail/onsemi/BAT54T1G/918319</t>
  </si>
  <si>
    <t>BAT54T1GOSCT-ND</t>
  </si>
  <si>
    <t>Test point</t>
  </si>
  <si>
    <t>Test point 1mm</t>
  </si>
  <si>
    <t>TP1, TP2, TP3, TP4, TP6, TP7, TP9, TP10, TP11, TP13, TP16, TP17</t>
  </si>
  <si>
    <t>TestPoint</t>
  </si>
  <si>
    <t>TP002</t>
  </si>
  <si>
    <t>DZ23C15-E3-08 Zener Diode</t>
  </si>
  <si>
    <t>Zener Diode Array 1 Pair Common Cathode 15 V 300 mW ±5% SOT-23-3</t>
  </si>
  <si>
    <t>ZD_RP</t>
  </si>
  <si>
    <t>SOT95P245X96-3N</t>
  </si>
  <si>
    <t>https://www.digikey.com/en/products/detail/vishay-general-semiconductor-diodes-division/DZ23C15-E3-08/4831460</t>
  </si>
  <si>
    <t>112-DZ23C15-E3-08CT-ND</t>
  </si>
  <si>
    <t>PCB cost</t>
  </si>
  <si>
    <t>ASS cost</t>
  </si>
  <si>
    <t>5 assembled PCBs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</si>
</sst>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1" xfId="1" quotePrefix="1" applyBorder="1"/>
    <xf numFmtId="164" fontId="0" fillId="2" borderId="0" xfId="0" applyNumberFormat="1" applyFill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wago-corporation/2601-1102/17122694" TargetMode="External"/><Relationship Id="rId13" Type="http://schemas.openxmlformats.org/officeDocument/2006/relationships/hyperlink" Target="https://www.digikey.com/en/products/detail/vishay-siliconix/SQJ459EP-T1-GE3/6708881" TargetMode="External"/><Relationship Id="rId18" Type="http://schemas.openxmlformats.org/officeDocument/2006/relationships/hyperlink" Target="https://www.digikey.com/en/products/detail/stackpole-electronics-inc/RMCF0603FG100K/1713543" TargetMode="External"/><Relationship Id="rId26" Type="http://schemas.openxmlformats.org/officeDocument/2006/relationships/hyperlink" Target="https://www.digikey.com/en/products/detail/vishay-general-semiconductor-diodes-division/DZ23C15-E3-08/4831460" TargetMode="External"/><Relationship Id="rId3" Type="http://schemas.openxmlformats.org/officeDocument/2006/relationships/hyperlink" Target="https://www.digikey.com/en/products/detail/samsung-electro-mechanics/CL10B104KB8NNNC/3886658" TargetMode="External"/><Relationship Id="rId21" Type="http://schemas.openxmlformats.org/officeDocument/2006/relationships/hyperlink" Target="https://www.digikey.com/en/products/detail/stackpole-electronics-inc/CSR1206FKR200/1742391?s=N4IgTCBcDaIMIGUBKBGMAGAbAMQNJI3RAF0BfIA" TargetMode="External"/><Relationship Id="rId7" Type="http://schemas.openxmlformats.org/officeDocument/2006/relationships/hyperlink" Target="https://www.digikey.com/en/products/detail/kemet/C0603C182K3RAC7867/2200107" TargetMode="External"/><Relationship Id="rId12" Type="http://schemas.openxmlformats.org/officeDocument/2006/relationships/hyperlink" Target="https://www.digikey.com/en/products/detail/infineon-technologies/IAUC80N04S6L032ATMA1/13677609" TargetMode="External"/><Relationship Id="rId17" Type="http://schemas.openxmlformats.org/officeDocument/2006/relationships/hyperlink" Target="https://www.digikey.com/en/products/detail/panasonic-electronic-components/ERJ-2GE0R00X/146727" TargetMode="External"/><Relationship Id="rId25" Type="http://schemas.openxmlformats.org/officeDocument/2006/relationships/hyperlink" Target="https://www.digikey.com/en/products/detail/onsemi/BAT54T1G/918319" TargetMode="External"/><Relationship Id="rId2" Type="http://schemas.openxmlformats.org/officeDocument/2006/relationships/hyperlink" Target="https://www.digikey.com/en/products/detail/samsung-electro-mechanics/CL31B106KBHNNNE/5961251" TargetMode="External"/><Relationship Id="rId16" Type="http://schemas.openxmlformats.org/officeDocument/2006/relationships/hyperlink" Target="https://www.digikey.com/en/products/detail/panasonic-electronic-components/ERJ-3EKF2492V/196236" TargetMode="External"/><Relationship Id="rId20" Type="http://schemas.openxmlformats.org/officeDocument/2006/relationships/hyperlink" Target="https://www.digikey.com/en/products/detail/yageo/RT0603BRD0749K3L/5927964" TargetMode="External"/><Relationship Id="rId29" Type="http://schemas.openxmlformats.org/officeDocument/2006/relationships/hyperlink" Target="https://eu.mouser.com/ProductDetail/Pulse-Electronics/PA4343.103ANLT?qs=chTDxNqvsym%252BWuIQdh7qfw%3D%3D" TargetMode="External"/><Relationship Id="rId1" Type="http://schemas.openxmlformats.org/officeDocument/2006/relationships/hyperlink" Target="https://www.digikey.com/en/products/detail/kemet/A785MN227M1VLAS023/22003773?s=N4IgTCBcDaIIIHYAcBWAsgOTGBaCMAagDJwDKADGAMwgC6AvkA" TargetMode="External"/><Relationship Id="rId6" Type="http://schemas.openxmlformats.org/officeDocument/2006/relationships/hyperlink" Target="https://www.digikey.com/en/products/detail/samsung-electro-mechanics/CL32B226KAJNNNE/3889050" TargetMode="External"/><Relationship Id="rId11" Type="http://schemas.openxmlformats.org/officeDocument/2006/relationships/hyperlink" Target="https://www.digikey.com/en/products/detail/pulse-electronics/PA4343-103ANLT/7943151?s=N4IgTCBcDaIAoEEAsBmVA6AjABhQgcgDIAqIAugL5A" TargetMode="External"/><Relationship Id="rId24" Type="http://schemas.openxmlformats.org/officeDocument/2006/relationships/hyperlink" Target="https://www.digikey.com/en/products/detail/stackpole-electronics-inc/RMCF0603FT14K3/1761296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kyocera-avx/06033C104K4T2A/8019250" TargetMode="External"/><Relationship Id="rId15" Type="http://schemas.openxmlformats.org/officeDocument/2006/relationships/hyperlink" Target="https://www.digikey.com/en/products/detail/vishay-dale/WSL10205L000FEA/9758314" TargetMode="External"/><Relationship Id="rId23" Type="http://schemas.openxmlformats.org/officeDocument/2006/relationships/hyperlink" Target="https://www.digikey.com/en/products/detail/yageo/RC0603FR-07200KL/727044" TargetMode="External"/><Relationship Id="rId28" Type="http://schemas.openxmlformats.org/officeDocument/2006/relationships/hyperlink" Target="https://eu.mouser.com/ProductDetail/Vishay-Dale/IHLP3232DZER2R2M5A?qs=tDDpbAIEejr3%252BeiaEh99%252Bg%3D%3D" TargetMode="External"/><Relationship Id="rId10" Type="http://schemas.openxmlformats.org/officeDocument/2006/relationships/hyperlink" Target="https://www.digikey.com/en/products/detail/vishay-dale/IHLP3232DZER2R2M5A/4070222" TargetMode="External"/><Relationship Id="rId19" Type="http://schemas.openxmlformats.org/officeDocument/2006/relationships/hyperlink" Target="https://www.digikey.com/en/products/detail/panasonic-electronic-components/ERJ-3EKF4122V/196347" TargetMode="External"/><Relationship Id="rId31" Type="http://schemas.openxmlformats.org/officeDocument/2006/relationships/hyperlink" Target="https://eu.mouser.com/ProductDetail/Vishay-Siliconix/SQJ459EP-T2_BE3?qs=CiayqK2gdcKpg8h0vLRPjA%3D%3D" TargetMode="External"/><Relationship Id="rId4" Type="http://schemas.openxmlformats.org/officeDocument/2006/relationships/hyperlink" Target="https://www.digikey.com/en/products/detail/murata-electronics/GRM188C71C225KE11D/4905311" TargetMode="External"/><Relationship Id="rId9" Type="http://schemas.openxmlformats.org/officeDocument/2006/relationships/hyperlink" Target="https://www.digikey.com/en/products/detail/texas-instruments/LM25148RGYR/15857124" TargetMode="External"/><Relationship Id="rId14" Type="http://schemas.openxmlformats.org/officeDocument/2006/relationships/hyperlink" Target="https://www.digikey.com/en/products/detail/yageo/RC0603FR-0749K9L/727265" TargetMode="External"/><Relationship Id="rId22" Type="http://schemas.openxmlformats.org/officeDocument/2006/relationships/hyperlink" Target="https://www.digikey.com/en/products/detail/yageo/RC0603FR-0747KL/727253" TargetMode="External"/><Relationship Id="rId27" Type="http://schemas.openxmlformats.org/officeDocument/2006/relationships/hyperlink" Target="https://eu.mouser.com/ProductDetail/Texas-Instruments/LM25148RGYR?qs=doiCPypUmgEViljGB5jAZw%3D%3D" TargetMode="External"/><Relationship Id="rId30" Type="http://schemas.openxmlformats.org/officeDocument/2006/relationships/hyperlink" Target="https://eu.mouser.com/ProductDetail/Infineon-Technologies/IAUC80N04S6L032ATMA1?qs=BJlw7L4Cy7%2F3D%2F1wP9Fsz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A271-BF0A-42E9-A1D0-8CC1ED9136FF}">
  <dimension ref="A1:O33"/>
  <sheetViews>
    <sheetView tabSelected="1" topLeftCell="G1" zoomScaleNormal="100" workbookViewId="0">
      <selection activeCell="O34" sqref="O34"/>
    </sheetView>
  </sheetViews>
  <sheetFormatPr defaultRowHeight="15" x14ac:dyDescent="0.25"/>
  <cols>
    <col min="1" max="6" width="19.7109375" customWidth="1"/>
    <col min="7" max="7" width="146.85546875" customWidth="1"/>
    <col min="8" max="10" width="16.5703125" customWidth="1"/>
    <col min="13" max="13" width="18.85546875" style="7" bestFit="1" customWidth="1"/>
    <col min="14" max="14" width="19.28515625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6"/>
    </row>
    <row r="2" spans="1:1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">
        <v>1</v>
      </c>
      <c r="G2" s="5" t="s">
        <v>15</v>
      </c>
      <c r="H2" s="1"/>
      <c r="I2" s="1"/>
      <c r="J2" s="2" t="s">
        <v>16</v>
      </c>
      <c r="M2" s="7">
        <v>0.62549999999999994</v>
      </c>
      <c r="N2">
        <v>5</v>
      </c>
      <c r="O2">
        <f>F2*M2*N2</f>
        <v>3.1274999999999995</v>
      </c>
    </row>
    <row r="3" spans="1:15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1">
        <v>10</v>
      </c>
      <c r="G3" s="5" t="s">
        <v>22</v>
      </c>
      <c r="H3" s="1"/>
      <c r="I3" s="1"/>
      <c r="J3" s="2" t="s">
        <v>23</v>
      </c>
      <c r="M3" s="7">
        <v>5.45E-2</v>
      </c>
      <c r="N3">
        <v>5</v>
      </c>
      <c r="O3">
        <f t="shared" ref="O3:O29" si="0">F3*M3*N3</f>
        <v>2.7250000000000001</v>
      </c>
    </row>
    <row r="4" spans="1:15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1">
        <v>7</v>
      </c>
      <c r="G4" s="5" t="s">
        <v>29</v>
      </c>
      <c r="H4" s="1"/>
      <c r="I4" s="1"/>
      <c r="J4" s="2" t="s">
        <v>30</v>
      </c>
      <c r="M4" s="7">
        <v>2.5000000000000001E-3</v>
      </c>
      <c r="N4">
        <v>5</v>
      </c>
      <c r="O4">
        <f t="shared" si="0"/>
        <v>8.7500000000000008E-2</v>
      </c>
    </row>
    <row r="5" spans="1:15" x14ac:dyDescent="0.25">
      <c r="A5" s="2" t="s">
        <v>31</v>
      </c>
      <c r="B5" s="2" t="s">
        <v>32</v>
      </c>
      <c r="C5" s="2" t="s">
        <v>33</v>
      </c>
      <c r="D5" s="2" t="s">
        <v>27</v>
      </c>
      <c r="E5" s="2" t="s">
        <v>34</v>
      </c>
      <c r="F5" s="1">
        <v>2</v>
      </c>
      <c r="G5" s="5" t="s">
        <v>35</v>
      </c>
      <c r="H5" s="1"/>
      <c r="I5" s="1"/>
      <c r="J5" s="2" t="s">
        <v>36</v>
      </c>
      <c r="M5" s="7">
        <v>5.5399999999999998E-2</v>
      </c>
      <c r="N5">
        <v>5</v>
      </c>
      <c r="O5">
        <f t="shared" si="0"/>
        <v>0.55399999999999994</v>
      </c>
    </row>
    <row r="6" spans="1:15" x14ac:dyDescent="0.25">
      <c r="A6" s="2" t="s">
        <v>37</v>
      </c>
      <c r="B6" s="2" t="s">
        <v>38</v>
      </c>
      <c r="C6" s="2" t="s">
        <v>39</v>
      </c>
      <c r="D6" s="2" t="s">
        <v>27</v>
      </c>
      <c r="E6" s="2" t="s">
        <v>40</v>
      </c>
      <c r="F6" s="1">
        <v>4</v>
      </c>
      <c r="G6" s="5" t="s">
        <v>41</v>
      </c>
      <c r="H6" s="1"/>
      <c r="I6" s="1"/>
      <c r="J6" s="2" t="s">
        <v>42</v>
      </c>
      <c r="M6" s="7">
        <v>2.5000000000000001E-3</v>
      </c>
      <c r="N6">
        <v>5</v>
      </c>
      <c r="O6">
        <f t="shared" si="0"/>
        <v>0.05</v>
      </c>
    </row>
    <row r="7" spans="1:15" x14ac:dyDescent="0.25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1">
        <v>10</v>
      </c>
      <c r="G7" s="5" t="s">
        <v>48</v>
      </c>
      <c r="H7" s="1"/>
      <c r="I7" s="1"/>
      <c r="J7" s="2" t="s">
        <v>49</v>
      </c>
      <c r="M7" s="7">
        <v>9.2100000000000001E-2</v>
      </c>
      <c r="N7">
        <v>5</v>
      </c>
      <c r="O7">
        <f t="shared" si="0"/>
        <v>4.6050000000000004</v>
      </c>
    </row>
    <row r="8" spans="1:15" x14ac:dyDescent="0.25">
      <c r="A8" s="2" t="s">
        <v>50</v>
      </c>
      <c r="B8" s="2" t="s">
        <v>51</v>
      </c>
      <c r="C8" s="2" t="s">
        <v>52</v>
      </c>
      <c r="D8" s="2" t="s">
        <v>27</v>
      </c>
      <c r="E8" s="2" t="s">
        <v>53</v>
      </c>
      <c r="F8" s="1">
        <v>1</v>
      </c>
      <c r="G8" s="5" t="s">
        <v>54</v>
      </c>
      <c r="H8" s="1"/>
      <c r="I8" s="1"/>
      <c r="J8" s="2" t="s">
        <v>55</v>
      </c>
      <c r="M8" s="7">
        <v>2.0400000000000001E-2</v>
      </c>
      <c r="N8">
        <v>5</v>
      </c>
      <c r="O8">
        <f t="shared" si="0"/>
        <v>0.10200000000000001</v>
      </c>
    </row>
    <row r="9" spans="1:15" x14ac:dyDescent="0.2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1">
        <v>2</v>
      </c>
      <c r="G9" s="5" t="s">
        <v>61</v>
      </c>
      <c r="H9" s="1"/>
      <c r="I9" s="1"/>
      <c r="J9" s="2" t="s">
        <v>62</v>
      </c>
      <c r="M9" s="7">
        <v>1.1220000000000001</v>
      </c>
      <c r="N9">
        <v>5</v>
      </c>
      <c r="O9">
        <f t="shared" si="0"/>
        <v>11.22</v>
      </c>
    </row>
    <row r="10" spans="1:15" x14ac:dyDescent="0.25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1">
        <v>1</v>
      </c>
      <c r="G10" s="5" t="s">
        <v>68</v>
      </c>
      <c r="H10" s="5" t="s">
        <v>69</v>
      </c>
      <c r="I10" s="2" t="s">
        <v>70</v>
      </c>
      <c r="J10" s="2" t="s">
        <v>71</v>
      </c>
      <c r="M10" s="7">
        <v>1.704</v>
      </c>
      <c r="N10">
        <v>5</v>
      </c>
      <c r="O10">
        <f t="shared" si="0"/>
        <v>8.52</v>
      </c>
    </row>
    <row r="11" spans="1:15" x14ac:dyDescent="0.25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1">
        <v>1</v>
      </c>
      <c r="G11" s="5" t="s">
        <v>77</v>
      </c>
      <c r="H11" s="5" t="s">
        <v>78</v>
      </c>
      <c r="I11" s="2" t="s">
        <v>79</v>
      </c>
      <c r="J11" s="2" t="s">
        <v>80</v>
      </c>
      <c r="M11" s="7">
        <v>0.73050000000000004</v>
      </c>
      <c r="N11">
        <v>5</v>
      </c>
      <c r="O11">
        <f t="shared" si="0"/>
        <v>3.6525000000000003</v>
      </c>
    </row>
    <row r="12" spans="1:15" x14ac:dyDescent="0.25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1">
        <v>1</v>
      </c>
      <c r="G12" s="5" t="s">
        <v>86</v>
      </c>
      <c r="H12" s="5" t="s">
        <v>87</v>
      </c>
      <c r="I12" s="2" t="s">
        <v>88</v>
      </c>
      <c r="J12" s="2" t="s">
        <v>89</v>
      </c>
      <c r="M12" s="7">
        <v>0.8145</v>
      </c>
      <c r="N12">
        <v>5</v>
      </c>
      <c r="O12">
        <f t="shared" si="0"/>
        <v>4.0724999999999998</v>
      </c>
    </row>
    <row r="13" spans="1:15" x14ac:dyDescent="0.25">
      <c r="A13" s="2" t="s">
        <v>90</v>
      </c>
      <c r="B13" s="2" t="s">
        <v>91</v>
      </c>
      <c r="C13" s="2" t="s">
        <v>92</v>
      </c>
      <c r="D13" s="2" t="s">
        <v>93</v>
      </c>
      <c r="E13" s="2" t="s">
        <v>94</v>
      </c>
      <c r="F13" s="1">
        <v>4</v>
      </c>
      <c r="G13" s="1"/>
      <c r="H13" s="1"/>
      <c r="I13" s="1"/>
      <c r="J13" s="1"/>
      <c r="O13">
        <f t="shared" si="0"/>
        <v>0</v>
      </c>
    </row>
    <row r="14" spans="1:15" x14ac:dyDescent="0.25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99</v>
      </c>
      <c r="F14" s="1">
        <v>2</v>
      </c>
      <c r="G14" s="5" t="s">
        <v>100</v>
      </c>
      <c r="H14" s="5" t="s">
        <v>101</v>
      </c>
      <c r="I14" s="2" t="s">
        <v>102</v>
      </c>
      <c r="J14" s="2" t="s">
        <v>103</v>
      </c>
      <c r="M14" s="7">
        <v>0.49349999999999999</v>
      </c>
      <c r="N14">
        <v>5</v>
      </c>
      <c r="O14">
        <f t="shared" si="0"/>
        <v>4.9349999999999996</v>
      </c>
    </row>
    <row r="15" spans="1:15" x14ac:dyDescent="0.25">
      <c r="A15" s="2" t="s">
        <v>104</v>
      </c>
      <c r="B15" s="2" t="s">
        <v>105</v>
      </c>
      <c r="C15" s="2" t="s">
        <v>106</v>
      </c>
      <c r="D15" s="2" t="s">
        <v>107</v>
      </c>
      <c r="E15" s="2" t="s">
        <v>108</v>
      </c>
      <c r="F15" s="1">
        <v>1</v>
      </c>
      <c r="G15" s="5" t="s">
        <v>109</v>
      </c>
      <c r="H15" s="5" t="s">
        <v>110</v>
      </c>
      <c r="I15" s="2" t="s">
        <v>111</v>
      </c>
      <c r="J15" s="2" t="s">
        <v>112</v>
      </c>
      <c r="M15" s="7">
        <v>0.90300000000000002</v>
      </c>
      <c r="N15">
        <v>5</v>
      </c>
      <c r="O15">
        <f t="shared" si="0"/>
        <v>4.5150000000000006</v>
      </c>
    </row>
    <row r="16" spans="1:15" x14ac:dyDescent="0.25">
      <c r="A16" s="2" t="s">
        <v>113</v>
      </c>
      <c r="B16" s="2" t="s">
        <v>114</v>
      </c>
      <c r="C16" s="2" t="s">
        <v>115</v>
      </c>
      <c r="D16" s="2" t="s">
        <v>116</v>
      </c>
      <c r="E16" s="2" t="s">
        <v>117</v>
      </c>
      <c r="F16" s="1">
        <v>1</v>
      </c>
      <c r="G16" s="5" t="s">
        <v>118</v>
      </c>
      <c r="H16" s="1"/>
      <c r="I16" s="1"/>
      <c r="J16" s="2" t="s">
        <v>119</v>
      </c>
      <c r="M16" s="7">
        <v>6.0000000000000001E-3</v>
      </c>
      <c r="N16">
        <v>5</v>
      </c>
      <c r="O16">
        <f t="shared" si="0"/>
        <v>0.03</v>
      </c>
    </row>
    <row r="17" spans="1:15" x14ac:dyDescent="0.25">
      <c r="A17" s="2" t="s">
        <v>120</v>
      </c>
      <c r="B17" s="2" t="s">
        <v>121</v>
      </c>
      <c r="C17" s="2" t="s">
        <v>122</v>
      </c>
      <c r="D17" s="2" t="s">
        <v>123</v>
      </c>
      <c r="E17" s="2" t="s">
        <v>124</v>
      </c>
      <c r="F17" s="1">
        <v>1</v>
      </c>
      <c r="G17" s="5" t="s">
        <v>125</v>
      </c>
      <c r="H17" s="1"/>
      <c r="I17" s="1"/>
      <c r="J17" s="2" t="s">
        <v>126</v>
      </c>
      <c r="M17" s="7">
        <v>0.3</v>
      </c>
      <c r="N17">
        <v>5</v>
      </c>
      <c r="O17">
        <f t="shared" si="0"/>
        <v>1.5</v>
      </c>
    </row>
    <row r="18" spans="1:15" x14ac:dyDescent="0.25">
      <c r="A18" s="2" t="s">
        <v>127</v>
      </c>
      <c r="B18" s="2" t="s">
        <v>128</v>
      </c>
      <c r="C18" s="2" t="s">
        <v>129</v>
      </c>
      <c r="D18" s="2" t="s">
        <v>116</v>
      </c>
      <c r="E18" s="2" t="s">
        <v>130</v>
      </c>
      <c r="F18" s="1">
        <v>1</v>
      </c>
      <c r="G18" s="5" t="s">
        <v>131</v>
      </c>
      <c r="H18" s="1"/>
      <c r="I18" s="1"/>
      <c r="J18" s="2" t="s">
        <v>132</v>
      </c>
      <c r="M18" s="7">
        <v>5.3E-3</v>
      </c>
      <c r="N18">
        <v>5</v>
      </c>
      <c r="O18">
        <f t="shared" si="0"/>
        <v>2.6499999999999999E-2</v>
      </c>
    </row>
    <row r="19" spans="1:15" x14ac:dyDescent="0.25">
      <c r="A19" s="2" t="s">
        <v>133</v>
      </c>
      <c r="B19" s="2" t="s">
        <v>134</v>
      </c>
      <c r="C19" s="2" t="s">
        <v>135</v>
      </c>
      <c r="D19" s="2" t="s">
        <v>136</v>
      </c>
      <c r="E19" s="2" t="s">
        <v>137</v>
      </c>
      <c r="F19" s="1">
        <v>2</v>
      </c>
      <c r="G19" s="5" t="s">
        <v>138</v>
      </c>
      <c r="H19" s="1"/>
      <c r="I19" s="1"/>
      <c r="J19" s="2" t="s">
        <v>139</v>
      </c>
      <c r="M19" s="7">
        <v>4.3E-3</v>
      </c>
      <c r="N19">
        <v>5</v>
      </c>
      <c r="O19">
        <f t="shared" si="0"/>
        <v>4.2999999999999997E-2</v>
      </c>
    </row>
    <row r="20" spans="1:15" x14ac:dyDescent="0.25">
      <c r="A20" s="2" t="s">
        <v>140</v>
      </c>
      <c r="B20" s="2" t="s">
        <v>141</v>
      </c>
      <c r="C20" s="2" t="s">
        <v>142</v>
      </c>
      <c r="D20" s="2" t="s">
        <v>116</v>
      </c>
      <c r="E20" s="2" t="s">
        <v>143</v>
      </c>
      <c r="F20" s="1">
        <v>1</v>
      </c>
      <c r="G20" s="5" t="s">
        <v>144</v>
      </c>
      <c r="H20" s="1"/>
      <c r="I20" s="1"/>
      <c r="J20" s="2" t="s">
        <v>145</v>
      </c>
      <c r="M20" s="7">
        <v>3.3E-3</v>
      </c>
      <c r="N20">
        <v>5</v>
      </c>
      <c r="O20">
        <f t="shared" si="0"/>
        <v>1.6500000000000001E-2</v>
      </c>
    </row>
    <row r="21" spans="1:15" x14ac:dyDescent="0.25">
      <c r="A21" s="2" t="s">
        <v>146</v>
      </c>
      <c r="B21" s="2" t="s">
        <v>147</v>
      </c>
      <c r="C21" s="2" t="s">
        <v>148</v>
      </c>
      <c r="D21" s="2" t="s">
        <v>116</v>
      </c>
      <c r="E21" s="2" t="s">
        <v>149</v>
      </c>
      <c r="F21" s="1">
        <v>1</v>
      </c>
      <c r="G21" s="5" t="s">
        <v>150</v>
      </c>
      <c r="H21" s="1"/>
      <c r="I21" s="1"/>
      <c r="J21" s="2" t="s">
        <v>151</v>
      </c>
      <c r="M21" s="7">
        <v>5.0000000000000001E-3</v>
      </c>
      <c r="N21">
        <v>5</v>
      </c>
      <c r="O21">
        <f t="shared" si="0"/>
        <v>2.5000000000000001E-2</v>
      </c>
    </row>
    <row r="22" spans="1:15" x14ac:dyDescent="0.25">
      <c r="A22" s="2" t="s">
        <v>152</v>
      </c>
      <c r="B22" s="2" t="s">
        <v>153</v>
      </c>
      <c r="C22" s="2" t="s">
        <v>154</v>
      </c>
      <c r="D22" s="2" t="s">
        <v>116</v>
      </c>
      <c r="E22" s="2" t="s">
        <v>155</v>
      </c>
      <c r="F22" s="1">
        <v>1</v>
      </c>
      <c r="G22" s="5" t="s">
        <v>156</v>
      </c>
      <c r="H22" s="1"/>
      <c r="I22" s="1"/>
      <c r="J22" s="2" t="s">
        <v>157</v>
      </c>
      <c r="M22" s="7">
        <v>6.0000000000000001E-3</v>
      </c>
      <c r="N22">
        <v>5</v>
      </c>
      <c r="O22">
        <f t="shared" si="0"/>
        <v>0.03</v>
      </c>
    </row>
    <row r="23" spans="1:15" x14ac:dyDescent="0.25">
      <c r="A23" s="2" t="s">
        <v>158</v>
      </c>
      <c r="B23" s="2" t="s">
        <v>159</v>
      </c>
      <c r="C23" s="2" t="s">
        <v>160</v>
      </c>
      <c r="D23" s="2" t="s">
        <v>161</v>
      </c>
      <c r="E23" s="2" t="s">
        <v>162</v>
      </c>
      <c r="F23" s="1">
        <v>1</v>
      </c>
      <c r="G23" s="5" t="s">
        <v>163</v>
      </c>
      <c r="H23" s="1"/>
      <c r="I23" s="1"/>
      <c r="J23" s="2" t="s">
        <v>164</v>
      </c>
      <c r="M23" s="7">
        <v>6.5299999999999997E-2</v>
      </c>
      <c r="N23">
        <v>5</v>
      </c>
      <c r="O23">
        <f t="shared" si="0"/>
        <v>0.32650000000000001</v>
      </c>
    </row>
    <row r="24" spans="1:15" x14ac:dyDescent="0.25">
      <c r="A24" s="2" t="s">
        <v>165</v>
      </c>
      <c r="B24" s="2" t="s">
        <v>166</v>
      </c>
      <c r="C24" s="2" t="s">
        <v>167</v>
      </c>
      <c r="D24" s="2" t="s">
        <v>116</v>
      </c>
      <c r="E24" s="2" t="s">
        <v>168</v>
      </c>
      <c r="F24" s="1">
        <v>1</v>
      </c>
      <c r="G24" s="5" t="s">
        <v>169</v>
      </c>
      <c r="H24" s="1"/>
      <c r="I24" s="1"/>
      <c r="J24" s="2" t="s">
        <v>170</v>
      </c>
      <c r="M24" s="7">
        <v>1.1000000000000001E-3</v>
      </c>
      <c r="N24">
        <v>5</v>
      </c>
      <c r="O24">
        <f t="shared" si="0"/>
        <v>5.5000000000000005E-3</v>
      </c>
    </row>
    <row r="25" spans="1:15" x14ac:dyDescent="0.25">
      <c r="A25" s="2" t="s">
        <v>171</v>
      </c>
      <c r="B25" s="2" t="s">
        <v>172</v>
      </c>
      <c r="C25" s="2" t="s">
        <v>173</v>
      </c>
      <c r="D25" s="2" t="s">
        <v>116</v>
      </c>
      <c r="E25" s="2" t="s">
        <v>174</v>
      </c>
      <c r="F25" s="1">
        <v>1</v>
      </c>
      <c r="G25" s="5" t="s">
        <v>175</v>
      </c>
      <c r="H25" s="1"/>
      <c r="I25" s="1"/>
      <c r="J25" s="2" t="s">
        <v>176</v>
      </c>
      <c r="M25" s="7">
        <v>1.1000000000000001E-3</v>
      </c>
      <c r="N25">
        <v>5</v>
      </c>
      <c r="O25">
        <f t="shared" si="0"/>
        <v>5.5000000000000005E-3</v>
      </c>
    </row>
    <row r="26" spans="1:15" x14ac:dyDescent="0.25">
      <c r="A26" s="2" t="s">
        <v>177</v>
      </c>
      <c r="B26" s="2" t="s">
        <v>178</v>
      </c>
      <c r="C26" s="2" t="s">
        <v>179</v>
      </c>
      <c r="D26" s="2" t="s">
        <v>116</v>
      </c>
      <c r="E26" s="2" t="s">
        <v>180</v>
      </c>
      <c r="F26" s="1">
        <v>1</v>
      </c>
      <c r="G26" s="5" t="s">
        <v>181</v>
      </c>
      <c r="H26" s="1"/>
      <c r="I26" s="1"/>
      <c r="J26" s="2" t="s">
        <v>182</v>
      </c>
      <c r="M26" s="7">
        <v>2E-3</v>
      </c>
      <c r="N26">
        <v>5</v>
      </c>
      <c r="O26">
        <f t="shared" si="0"/>
        <v>0.01</v>
      </c>
    </row>
    <row r="27" spans="1:15" x14ac:dyDescent="0.25">
      <c r="A27" s="2" t="s">
        <v>183</v>
      </c>
      <c r="B27" s="2" t="s">
        <v>184</v>
      </c>
      <c r="C27" s="2" t="s">
        <v>185</v>
      </c>
      <c r="D27" s="2" t="s">
        <v>186</v>
      </c>
      <c r="E27" s="2" t="s">
        <v>187</v>
      </c>
      <c r="F27" s="1">
        <v>1</v>
      </c>
      <c r="G27" s="5" t="s">
        <v>188</v>
      </c>
      <c r="H27" s="1"/>
      <c r="I27" s="1"/>
      <c r="J27" s="2" t="s">
        <v>189</v>
      </c>
      <c r="M27" s="7">
        <v>3.1199999999999999E-2</v>
      </c>
      <c r="N27">
        <v>5</v>
      </c>
      <c r="O27">
        <f t="shared" si="0"/>
        <v>0.156</v>
      </c>
    </row>
    <row r="28" spans="1:15" x14ac:dyDescent="0.25">
      <c r="A28" s="2" t="s">
        <v>190</v>
      </c>
      <c r="B28" s="2" t="s">
        <v>191</v>
      </c>
      <c r="C28" s="2" t="s">
        <v>192</v>
      </c>
      <c r="D28" s="2" t="s">
        <v>193</v>
      </c>
      <c r="E28" s="2" t="s">
        <v>194</v>
      </c>
      <c r="F28" s="1">
        <v>12</v>
      </c>
      <c r="G28" s="1"/>
      <c r="H28" s="1"/>
      <c r="I28" s="1"/>
      <c r="J28" s="1"/>
      <c r="O28">
        <f t="shared" si="0"/>
        <v>0</v>
      </c>
    </row>
    <row r="29" spans="1:15" x14ac:dyDescent="0.25">
      <c r="A29" s="2" t="s">
        <v>195</v>
      </c>
      <c r="B29" s="2" t="s">
        <v>196</v>
      </c>
      <c r="C29" s="2" t="s">
        <v>197</v>
      </c>
      <c r="D29" s="2" t="s">
        <v>198</v>
      </c>
      <c r="E29" s="2" t="s">
        <v>94</v>
      </c>
      <c r="F29" s="1">
        <v>1</v>
      </c>
      <c r="G29" s="5" t="s">
        <v>199</v>
      </c>
      <c r="H29" s="1"/>
      <c r="I29" s="1"/>
      <c r="J29" s="2" t="s">
        <v>200</v>
      </c>
      <c r="M29" s="7">
        <v>1.52E-2</v>
      </c>
      <c r="N29">
        <v>5</v>
      </c>
      <c r="O29">
        <f t="shared" si="0"/>
        <v>7.5999999999999998E-2</v>
      </c>
    </row>
    <row r="30" spans="1:15" x14ac:dyDescent="0.25">
      <c r="O30">
        <f>SUM(O2:O29)</f>
        <v>50.416499999999999</v>
      </c>
    </row>
    <row r="31" spans="1:15" x14ac:dyDescent="0.25">
      <c r="N31" t="s">
        <v>201</v>
      </c>
      <c r="O31">
        <v>7</v>
      </c>
    </row>
    <row r="32" spans="1:15" x14ac:dyDescent="0.25">
      <c r="N32" t="s">
        <v>202</v>
      </c>
      <c r="O32">
        <v>30</v>
      </c>
    </row>
    <row r="33" spans="14:15" x14ac:dyDescent="0.25">
      <c r="N33" t="s">
        <v>203</v>
      </c>
      <c r="O33">
        <f>SUM(O30:O32)</f>
        <v>87.416499999999999</v>
      </c>
    </row>
  </sheetData>
  <hyperlinks>
    <hyperlink ref="G2" r:id="rId1" xr:uid="{206B498C-5407-4887-BF2E-DE17C96627C7}"/>
    <hyperlink ref="G3" r:id="rId2" xr:uid="{DAD6B40A-98DE-45B5-B7E8-DF447794FAE5}"/>
    <hyperlink ref="G4" r:id="rId3" xr:uid="{B5B89A55-7792-48E9-B7BB-3E03C19AA1AE}"/>
    <hyperlink ref="G5" r:id="rId4" xr:uid="{10E378D8-0823-47E0-90F7-6369048517A8}"/>
    <hyperlink ref="G6" r:id="rId5" xr:uid="{DF5D96A3-06D5-4843-86A2-C18A6EEAAB43}"/>
    <hyperlink ref="G7" r:id="rId6" xr:uid="{6308BE35-9869-4101-84A9-C3A9A9C2D43D}"/>
    <hyperlink ref="G8" r:id="rId7" xr:uid="{32D2F42B-D200-4CCA-9A58-5B4E853E4E8B}"/>
    <hyperlink ref="G9" r:id="rId8" xr:uid="{41B46BD2-D3FA-4187-8DC3-9CF806B13B64}"/>
    <hyperlink ref="G10" r:id="rId9" xr:uid="{F4DAB57E-101C-4098-AF78-60F811AEB70B}"/>
    <hyperlink ref="G11" r:id="rId10" xr:uid="{776F1678-FBB9-4B2E-AB81-144B08706F01}"/>
    <hyperlink ref="G12" r:id="rId11" xr:uid="{AB203502-0653-4524-B99B-5E53E52A6621}"/>
    <hyperlink ref="G14" r:id="rId12" xr:uid="{A1651D09-9BE9-4D4E-AE86-39087B836317}"/>
    <hyperlink ref="G15" r:id="rId13" xr:uid="{8B70DAE1-76B0-43FD-B00E-6E53F8E34123}"/>
    <hyperlink ref="G16" r:id="rId14" xr:uid="{C4441AE3-CBDB-4592-8FAD-9590D40211FE}"/>
    <hyperlink ref="G17" r:id="rId15" xr:uid="{29FC88C3-C31E-4EDA-A998-1BC6AE371D7A}"/>
    <hyperlink ref="G18" r:id="rId16" xr:uid="{39D46FE5-F95E-46C7-A1CD-0B4F59645BEC}"/>
    <hyperlink ref="G19" r:id="rId17" xr:uid="{5EF47EE4-762C-42AA-A4DC-5AB88A3899DE}"/>
    <hyperlink ref="G20" r:id="rId18" xr:uid="{0C9DF078-4791-44D0-90FB-8E6795BFA161}"/>
    <hyperlink ref="G21" r:id="rId19" xr:uid="{C0D876CA-5038-43C2-8ED5-80E7C8CC9BD5}"/>
    <hyperlink ref="G22" r:id="rId20" xr:uid="{A84840FD-685B-48DD-BDAF-E948C892F552}"/>
    <hyperlink ref="G23" r:id="rId21" xr:uid="{7E0E6BB7-1655-4E2C-A8A2-03BB53201205}"/>
    <hyperlink ref="G24" r:id="rId22" xr:uid="{337C2710-F89E-40B5-AA2E-AE0C974C195D}"/>
    <hyperlink ref="G25" r:id="rId23" xr:uid="{54C8EFAC-5513-4EE9-8E5F-C5DF5E1CDE89}"/>
    <hyperlink ref="G26" r:id="rId24" xr:uid="{A8DD1B11-44B3-4129-8C2D-7C29907F231C}"/>
    <hyperlink ref="G27" r:id="rId25" xr:uid="{D551387A-C6A3-43A1-BC33-14EDB3CCA2DC}"/>
    <hyperlink ref="G29" r:id="rId26" xr:uid="{7AB89501-0224-486B-B273-DB6E4F235D95}"/>
    <hyperlink ref="H10" r:id="rId27" xr:uid="{3E58D581-EE95-49C1-BF44-CBADE36C3CEC}"/>
    <hyperlink ref="H11" r:id="rId28" xr:uid="{22111450-495B-4FB6-8EA9-04DDEC88202E}"/>
    <hyperlink ref="H12" r:id="rId29" xr:uid="{28715417-5278-4107-9032-AAA422E19664}"/>
    <hyperlink ref="H14" r:id="rId30" xr:uid="{92223A84-A5FD-4DA0-8507-94F15F9B653C}"/>
    <hyperlink ref="H15" r:id="rId31" xr:uid="{8F3F843D-02E8-4565-BB4C-054ABC1EEDC5}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LM25148_comercial_BOM</vt:lpstr>
      <vt:lpstr>LM25148_comercial_BOM!Print_Titles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Aleksic</dc:creator>
  <cp:lastModifiedBy>Aleksandar Aleksic</cp:lastModifiedBy>
  <dcterms:created xsi:type="dcterms:W3CDTF">2025-08-03T18:11:06Z</dcterms:created>
  <dcterms:modified xsi:type="dcterms:W3CDTF">2025-08-04T22:38:01Z</dcterms:modified>
</cp:coreProperties>
</file>